
<file path=[Content_Types].xml><?xml version="1.0" encoding="utf-8"?>
<Types xmlns="http://schemas.openxmlformats.org/package/2006/content-types"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package.relationships+xml" PartName="/_rels/.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package.relationships+xml" PartName="/xl/_rels/workbook.xml.rels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ME" sheetId="1" state="visible" r:id="rId3"/>
    <sheet name="Index" sheetId="2" state="visible" r:id="rId4"/>
    <sheet name="Famille - Anna" sheetId="3" state="visible" r:id="rId5"/>
    <sheet name="Famille - Issa" sheetId="4" state="visible" r:id="rId6"/>
    <sheet name="Famille - Eneour" sheetId="5" state="visible" r:id="rId7"/>
    <sheet name="Famille - Luce" sheetId="6" state="visible" r:id="rId8"/>
    <sheet name="Famille - Mélanie" sheetId="7" state="visible" r:id="rId9"/>
    <sheet name="Famille - Marceau" sheetId="8" state="visible" r:id="rId10"/>
    <sheet name="Famille - Mael et Mathéo" sheetId="9" state="visible" r:id="rId11"/>
    <sheet name="Famille - Marin" sheetId="10" state="visible" r:id="rId12"/>
    <sheet name="Famille - Orion" sheetId="11" state="visible" r:id="rId13"/>
    <sheet name="Famille - Eliott" sheetId="12" state="visible" r:id="rId14"/>
    <sheet name="Famille - Côme et Rose" sheetId="13" state="visible" r:id="rId15"/>
    <sheet name="#1" r:id="rId17" sheetId="14"/>
    <sheet name="#2" r:id="rId18" sheetId="15"/>
    <sheet name="#3" r:id="rId19" sheetId="16"/>
    <sheet name="#4" r:id="rId20" sheetId="17"/>
    <sheet name="#5" r:id="rId21" sheetId="18"/>
    <sheet name="#6" r:id="rId22" sheetId="19"/>
    <sheet name="#7" r:id="rId23" sheetId="20"/>
    <sheet name="#8" r:id="rId24" sheetId="21"/>
    <sheet name="#9" r:id="rId25" sheetId="22"/>
    <sheet name="#10" r:id="rId26" sheetId="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<sst xmlns="http://schemas.openxmlformats.org/spreadsheetml/2006/main" count="9492" uniqueCount="178">
  <si>
    <t xml:space="preserve">Template de saisie covoiturage</t>
  </si>
  <si>
    <t xml:space="preserve">Ce fichier est un support de saisie. Les formules metier restent calculees en Java.</t>
  </si>
  <si>
    <t xml:space="preserve">Un onglet famille represente un groupe d'enfants. Les parents separes ne creent pas plusieurs familles.</t>
  </si>
  <si>
    <t xml:space="preserve">Les grilles de saisie sont la source de verite pour la normalisation et le calcul.</t>
  </si>
  <si>
    <t xml:space="preserve">Preferences famille: IMPOSSIBLE, EVITER, OK, PREFERE.</t>
  </si>
  <si>
    <t xml:space="preserve">Absences enfants: PRESENT, ABSENT.</t>
  </si>
  <si>
    <t xml:space="preserve">Les champs informatifs peuvent rester libres. Ils ne sont pas utilises par les metriques initiales.</t>
  </si>
  <si>
    <t xml:space="preserve">Nom famille</t>
  </si>
  <si>
    <t xml:space="preserve">Nom onglet</t>
  </si>
  <si>
    <t xml:space="preserve">Capacite voiture</t>
  </si>
  <si>
    <t xml:space="preserve">Nombre d'enfants</t>
  </si>
  <si>
    <t xml:space="preserve">Anna</t>
  </si>
  <si>
    <t xml:space="preserve">Famille - Anna</t>
  </si>
  <si>
    <t xml:space="preserve">Issa</t>
  </si>
  <si>
    <t xml:space="preserve">Famille - Issa</t>
  </si>
  <si>
    <t xml:space="preserve">Eneour</t>
  </si>
  <si>
    <t xml:space="preserve">Famille - Eneour</t>
  </si>
  <si>
    <t xml:space="preserve">Luce</t>
  </si>
  <si>
    <t xml:space="preserve">Famille - Luce</t>
  </si>
  <si>
    <t xml:space="preserve">Mélanie</t>
  </si>
  <si>
    <t xml:space="preserve">Famille - Mélanie</t>
  </si>
  <si>
    <t xml:space="preserve">Marceau</t>
  </si>
  <si>
    <t xml:space="preserve">Famille - Marceau</t>
  </si>
  <si>
    <t xml:space="preserve">Mael et Mathéo</t>
  </si>
  <si>
    <t xml:space="preserve">Famille - Mael et Mathéo</t>
  </si>
  <si>
    <t xml:space="preserve">Marin</t>
  </si>
  <si>
    <t xml:space="preserve">Famille - Marin</t>
  </si>
  <si>
    <t xml:space="preserve">Orion</t>
  </si>
  <si>
    <t xml:space="preserve">Famille - Orion</t>
  </si>
  <si>
    <t xml:space="preserve">Eliott</t>
  </si>
  <si>
    <t xml:space="preserve">Famille - Eliott</t>
  </si>
  <si>
    <t xml:space="preserve">Côme et Rose</t>
  </si>
  <si>
    <t xml:space="preserve">Famille - Côme et Rose</t>
  </si>
  <si>
    <t xml:space="preserve">Onglet famille</t>
  </si>
  <si>
    <t xml:space="preserve">Identite</t>
  </si>
  <si>
    <t xml:space="preserve">Preferences famille</t>
  </si>
  <si>
    <t xml:space="preserve">Semaines paires</t>
  </si>
  <si>
    <t xml:space="preserve">Semaines impaires</t>
  </si>
  <si>
    <t xml:space="preserve">Lundi</t>
  </si>
  <si>
    <t xml:space="preserve">Mardi</t>
  </si>
  <si>
    <t xml:space="preserve">Jeudi</t>
  </si>
  <si>
    <t xml:space="preserve">Vendredi</t>
  </si>
  <si>
    <t xml:space="preserve">Matin</t>
  </si>
  <si>
    <t xml:space="preserve">Soir</t>
  </si>
  <si>
    <t xml:space="preserve">Famille</t>
  </si>
  <si>
    <t xml:space="preserve">OK</t>
  </si>
  <si>
    <t xml:space="preserve">EVITER</t>
  </si>
  <si>
    <t xml:space="preserve">Absences enfants</t>
  </si>
  <si>
    <t xml:space="preserve">ABSENT</t>
  </si>
  <si>
    <t xml:space="preserve">PRESENT</t>
  </si>
  <si>
    <t xml:space="preserve">Informations libres</t>
  </si>
  <si>
    <t xml:space="preserve">Garde alternee / contexte</t>
  </si>
  <si>
    <t xml:space="preserve">Garde alternée (Céline). Avec Céline: paire = mardi soir, jeudi, vendredi ; impaire = lundi, mardi matin. L'autre parent (hors covoit) couvre le complément.</t>
  </si>
  <si>
    <t xml:space="preserve">Lieu de RDV</t>
  </si>
  <si>
    <t xml:space="preserve">Bar du pont OK</t>
  </si>
  <si>
    <t xml:space="preserve">Whatsapp</t>
  </si>
  <si>
    <t xml:space="preserve">Oui</t>
  </si>
  <si>
    <t xml:space="preserve">Remarques</t>
  </si>
  <si>
    <t xml:space="preserve">Parent: Céline. Réhausseur. Lundi matin impaire ne l'arrange pas (éviter).</t>
  </si>
  <si>
    <t xml:space="preserve">PREFERE</t>
  </si>
  <si>
    <t xml:space="preserve">IMPOSSIBLE</t>
  </si>
  <si>
    <t xml:space="preserve">Bar du pont, pont en bois</t>
  </si>
  <si>
    <t xml:space="preserve">Non</t>
  </si>
  <si>
    <t xml:space="preserve">Parents: Lydia/Abdou. Pas de réhausseur, peut passer à l'avant. Peu de visibilité pour la rentrée (Lydia).</t>
  </si>
  <si>
    <t xml:space="preserve">Co-parents dans le covoit (Nathalie/Guillaume + Kenann). Paire: Nathalie/Guillaume (sauf lundi matin = Kenann). Impaire: Kenann (sauf lundi matin = Nathalie/Guillaume). Présent toutes les semaines.</t>
  </si>
  <si>
    <t xml:space="preserve">Pas de préférence</t>
  </si>
  <si>
    <t xml:space="preserve">Réhausseur. Préférences par semaine selon parent présent. Détails à confirmer (N/G).</t>
  </si>
  <si>
    <t xml:space="preserve">Co-parents dans le covoit (Anne + Swan). Paire: Anne (mère). Impaire: Swan (père). Présente toutes les semaines.</t>
  </si>
  <si>
    <t xml:space="preserve">Anne: aucune préférence. Swan: PAS le bar du pont (voiture ne passe pas).</t>
  </si>
  <si>
    <t xml:space="preserve">Luce 11 ans, peut monter à l'avant sans réhausseur. Conflit déclaratif de semaine, tranché côté Swan (mère=paire).</t>
  </si>
  <si>
    <t xml:space="preserve">Co-parents dans le covoit (Sonia + Jean-Philippe). Paire: Sonia. Impaire: Jean-Philippe (garde alternée semaine impaire). Présente toutes les semaines.</t>
  </si>
  <si>
    <t xml:space="preserve">Sonia: Divajeu. Jean-Philippe: bar du pont.</t>
  </si>
  <si>
    <t xml:space="preserve">Sonia non, Jean-Philippe oui</t>
  </si>
  <si>
    <t xml:space="preserve">Réhausseur (possible sans / si devant). Sonia (paire) sans contrainte ferme, max 1 matin souhaité. JP (impaire) indispo lun/mar/jeu (travail), télétravail vendredi. EDT collège aînée en septembre.</t>
  </si>
  <si>
    <t xml:space="preserve">Garde alternée (Clémence): Marceau avec Clémence semaines impaires (changement le lundi via l'école). Absent semaines paires (autre parent hors covoit).</t>
  </si>
  <si>
    <t xml:space="preserve">À voir ensemble</t>
  </si>
  <si>
    <t xml:space="preserve">Parent: Clémence. Marceau 10 ans, peut monter à l'avant, plus de siège.</t>
  </si>
  <si>
    <t xml:space="preserve">Mael</t>
  </si>
  <si>
    <t xml:space="preserve">Mathéo</t>
  </si>
  <si>
    <t xml:space="preserve">Bar du Pont OK</t>
  </si>
  <si>
    <t xml:space="preserve">Parents: Virginie et Romain. Réhausseur. 2 enfants, 6 places.</t>
  </si>
  <si>
    <t xml:space="preserve">Bar du Pont (stationnement/sécurité parfois difficile)</t>
  </si>
  <si>
    <t xml:space="preserve">Parents: Lucie et Raphael. Réhausseur, pas encore devant. EDT/lieux de travail connus début juillet, peuvent changer.</t>
  </si>
  <si>
    <t xml:space="preserve">Co-parents dans le covoit (Joséphine + Mickael). Garde alternée non encore définie. Présent toutes les semaines. Préférences = union des dispos des 2 parents.</t>
  </si>
  <si>
    <t xml:space="preserve">Comme cette année</t>
  </si>
  <si>
    <t xml:space="preserve">Réhausseur à l'arrière. Nb de places non figé (3 à 5 selon véhicule), retenu 4.</t>
  </si>
  <si>
    <t xml:space="preserve">Bar du pont / parking St Férréol</t>
  </si>
  <si>
    <t xml:space="preserve">Parents: Lucille et Nicolas. Réhausseur à l'arrière (4 places dont un devant). Aucun trajet impossible, préférence lundi mais dispo la plupart des jours.</t>
  </si>
  <si>
    <t xml:space="preserve">Côme</t>
  </si>
  <si>
    <t xml:space="preserve">Rose</t>
  </si>
  <si>
    <t xml:space="preserve">Parents: Axel et Soizïc. 2 enfants. Soizic indispo les matins. Axel: 1 trajet matin ET soir le lundi ou mardi. Soizic: jeudi soir ou vendredi soir. Sécurité/lieu/WhatsApp non renseignés.</t>
  </si>
  <si>
    <t>Planning #1 — éditable</t>
  </si>
  <si>
    <t>Modifiez la liste (cellules jaunes). Stats, grille et complétude se recalculent. Préférences/capacités lues dans les feuilles familles.</t>
  </si>
  <si>
    <t>Semaine</t>
  </si>
  <si>
    <t>Jour</t>
  </si>
  <si>
    <t>Créneau</t>
  </si>
  <si>
    <t>Conducteur</t>
  </si>
  <si>
    <t>Enfant 1</t>
  </si>
  <si>
    <t>Enfant 2</t>
  </si>
  <si>
    <t>Enfant 3</t>
  </si>
  <si>
    <t>Enfant 4</t>
  </si>
  <si>
    <t>Enfant 5</t>
  </si>
  <si>
    <t>Enfant 6</t>
  </si>
  <si>
    <t>·</t>
  </si>
  <si>
    <t>Paire</t>
  </si>
  <si>
    <t>Lundi</t>
  </si>
  <si>
    <t>Matin</t>
  </si>
  <si>
    <t>Marceau</t>
  </si>
  <si>
    <t>Issa</t>
  </si>
  <si>
    <t>Eneour</t>
  </si>
  <si>
    <t>Luce</t>
  </si>
  <si>
    <t/>
  </si>
  <si>
    <t>Côme et Rose</t>
  </si>
  <si>
    <t>Côme</t>
  </si>
  <si>
    <t>Rose</t>
  </si>
  <si>
    <t>Mélanie</t>
  </si>
  <si>
    <t>Mael</t>
  </si>
  <si>
    <t>Eliott</t>
  </si>
  <si>
    <t>Mathéo</t>
  </si>
  <si>
    <t>Marin</t>
  </si>
  <si>
    <t>Orion</t>
  </si>
  <si>
    <t>Soir</t>
  </si>
  <si>
    <t>Mael et Mathéo</t>
  </si>
  <si>
    <t>Mardi</t>
  </si>
  <si>
    <t>Anna</t>
  </si>
  <si>
    <t>Jeudi</t>
  </si>
  <si>
    <t>Vendredi</t>
  </si>
  <si>
    <t>Impaire</t>
  </si>
  <si>
    <t>Complétude (1 = enfant présent non transporté)</t>
  </si>
  <si>
    <t>Famille</t>
  </si>
  <si>
    <t>Réel/sem</t>
  </si>
  <si>
    <t>Idéal/sem</t>
  </si>
  <si>
    <t>Écart</t>
  </si>
  <si>
    <t>Justice</t>
  </si>
  <si>
    <t>Éviter</t>
  </si>
  <si>
    <t>Préféré</t>
  </si>
  <si>
    <t>Impossible</t>
  </si>
  <si>
    <t>Manquants</t>
  </si>
  <si>
    <t>Voitures</t>
  </si>
  <si>
    <t>Enfants</t>
  </si>
  <si>
    <t>Min voitures</t>
  </si>
  <si>
    <t>Redondants</t>
  </si>
  <si>
    <t>Paire|Lundi|Matin</t>
  </si>
  <si>
    <t>Paire|Lundi|Soir</t>
  </si>
  <si>
    <t>Paire|Mardi|Matin</t>
  </si>
  <si>
    <t>Paire|Mardi|Soir</t>
  </si>
  <si>
    <t>Paire|Jeudi|Matin</t>
  </si>
  <si>
    <t>Paire|Jeudi|Soir</t>
  </si>
  <si>
    <t>Paire|Vendredi|Matin</t>
  </si>
  <si>
    <t>Paire|Vendredi|Soir</t>
  </si>
  <si>
    <t>Impaire|Lundi|Matin</t>
  </si>
  <si>
    <t>Impaire|Lundi|Soir</t>
  </si>
  <si>
    <t>Impaire|Mardi|Matin</t>
  </si>
  <si>
    <t>Impaire|Mardi|Soir</t>
  </si>
  <si>
    <t>Impaire|Jeudi|Matin</t>
  </si>
  <si>
    <t>Impaire|Jeudi|Soir</t>
  </si>
  <si>
    <t>Impaire|Vendredi|Matin</t>
  </si>
  <si>
    <t>Impaire|Vendredi|Soir</t>
  </si>
  <si>
    <t>Justice minimale</t>
  </si>
  <si>
    <t>Justice moyenne</t>
  </si>
  <si>
    <t>Affectations à éviter</t>
  </si>
  <si>
    <t>Affectations préférées</t>
  </si>
  <si>
    <t>Affectations impossibles</t>
  </si>
  <si>
    <t>Transports manquants</t>
  </si>
  <si>
    <t>Planning complet</t>
  </si>
  <si>
    <t>Dépassements de capacité</t>
  </si>
  <si>
    <t>Conducteurs redondants (approx.)</t>
  </si>
  <si>
    <t>Semaine paire</t>
  </si>
  <si>
    <t>Semaine impaire</t>
  </si>
  <si>
    <t>Planning #2 — éditable</t>
  </si>
  <si>
    <t>Planning #3 — éditable</t>
  </si>
  <si>
    <t>Planning #4 — éditable</t>
  </si>
  <si>
    <t>Planning #5 — éditable</t>
  </si>
  <si>
    <t>Planning #6 — éditable</t>
  </si>
  <si>
    <t>Planning #7 — éditable</t>
  </si>
  <si>
    <t>Planning #8 — éditable</t>
  </si>
  <si>
    <t>Planning #9 — éditable</t>
  </si>
  <si>
    <t>Planning #10 — éditable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</si>
</sst>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name val="Calibri"/>
      <family val="0"/>
      <charset val="1"/>
    </font>
    <font>
      <name val="Calibri"/>
      <sz val="11.0"/>
    </font>
    <font>
      <name val="Calibri"/>
      <sz val="11.0"/>
      <b val="true"/>
      <color rgb="FFFFFFFF"/>
    </font>
    <font>
      <name val="Calibri"/>
      <sz val="14.0"/>
      <b val="true"/>
      <color rgb="FFFFFFFF"/>
    </font>
    <font>
      <name val="Calibri"/>
      <sz val="11.0"/>
      <b val="true"/>
      <color rgb="FFFFFFFF"/>
    </font>
    <font>
      <name val="Calibri"/>
      <sz val="10.0"/>
      <i val="true"/>
      <color rgb="FF808080"/>
    </font>
  </fonts>
  <fills count="18">
    <fill>
      <patternFill patternType="none"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C0C0C0"/>
        <bgColor rgb="FFCCCCFF"/>
      </patternFill>
    </fill>
    <fill>
      <patternFill patternType="none">
        <fgColor rgb="1F4E79"/>
      </patternFill>
    </fill>
    <fill>
      <patternFill patternType="solid">
        <fgColor rgb="1F4E79"/>
      </patternFill>
    </fill>
    <fill>
      <patternFill patternType="none">
        <fgColor rgb="2E75B6"/>
      </patternFill>
    </fill>
    <fill>
      <patternFill patternType="solid">
        <fgColor rgb="2E75B6"/>
      </patternFill>
    </fill>
    <fill>
      <patternFill patternType="none">
        <fgColor rgb="F2F2F2"/>
      </patternFill>
    </fill>
    <fill>
      <patternFill patternType="solid">
        <fgColor rgb="F2F2F2"/>
      </patternFill>
    </fill>
    <fill>
      <patternFill patternType="none">
        <fgColor rgb="F2F7FD"/>
      </patternFill>
    </fill>
    <fill>
      <patternFill patternType="solid">
        <fgColor rgb="F2F7FD"/>
      </patternFill>
    </fill>
    <fill>
      <patternFill patternType="none">
        <fgColor rgb="FFF6CC"/>
      </patternFill>
    </fill>
    <fill>
      <patternFill patternType="solid">
        <fgColor rgb="FFF6CC"/>
      </patternFill>
    </fill>
    <fill>
      <patternFill patternType="none">
        <fgColor rgb="EAF3DF"/>
      </patternFill>
    </fill>
    <fill>
      <patternFill patternType="solid">
        <fgColor rgb="EAF3DF"/>
      </patternFill>
    </fill>
    <fill>
      <patternFill patternType="none">
        <fgColor rgb="D6E4F0"/>
      </patternFill>
    </fill>
    <fill>
      <patternFill patternType="solid">
        <fgColor rgb="D6E4F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>
      <top style="thin"/>
    </border>
    <border>
      <top style="thin">
        <color rgb="B8CCE4"/>
      </top>
    </border>
    <border>
      <top style="thin">
        <color rgb="B8CCE4"/>
      </top>
      <bottom style="thin"/>
    </border>
    <border>
      <top style="thin">
        <color rgb="B8CCE4"/>
      </top>
      <bottom style="thin">
        <color rgb="B8CCE4"/>
      </bottom>
    </border>
    <border>
      <left style="thin"/>
      <top style="thin">
        <color rgb="B8CCE4"/>
      </top>
      <bottom style="thin">
        <color rgb="B8CCE4"/>
      </bottom>
    </border>
    <border>
      <left style="thin">
        <color rgb="B8CCE4"/>
      </left>
      <top style="thin">
        <color rgb="B8CCE4"/>
      </top>
      <bottom style="thin">
        <color rgb="B8CCE4"/>
      </bottom>
    </border>
    <border>
      <left style="thin">
        <color rgb="B8CCE4"/>
      </left>
      <right style="thin"/>
      <top style="thin">
        <color rgb="B8CCE4"/>
      </top>
      <bottom style="thin">
        <color rgb="B8CCE4"/>
      </bottom>
    </border>
    <border>
      <left style="thin">
        <color rgb="B8CCE4"/>
      </left>
      <right style="thin">
        <color rgb="B8CCE4"/>
      </right>
      <top style="thin">
        <color rgb="B8CCE4"/>
      </top>
      <bottom style="thin">
        <color rgb="B8CCE4"/>
      </bottom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0" fontId="9" fillId="5" borderId="0" xfId="0" applyFont="true" applyFill="true" applyAlignment="true">
      <alignment horizontal="left" vertical="center"/>
    </xf>
    <xf numFmtId="0" fontId="8" fillId="7" borderId="10" xfId="0" applyFont="true" applyFill="true" applyAlignment="true" applyBorder="true">
      <alignment horizontal="left" vertical="center"/>
    </xf>
    <xf numFmtId="0" fontId="11" fillId="0" borderId="0" xfId="0" applyFont="true" applyAlignment="true">
      <alignment horizontal="left" vertical="center"/>
    </xf>
    <xf numFmtId="0" fontId="8" fillId="9" borderId="10" xfId="0" applyFont="true" applyFill="true" applyAlignment="true" applyBorder="true">
      <alignment horizontal="left" vertical="center"/>
    </xf>
    <xf numFmtId="0" fontId="10" fillId="5" borderId="10" xfId="0" applyFont="true" applyFill="true" applyAlignment="true" applyBorder="true">
      <alignment horizontal="center" vertical="center"/>
    </xf>
    <xf numFmtId="0" fontId="10" fillId="5" borderId="10" xfId="0" applyFont="true" applyFill="true" applyAlignment="true" applyBorder="true">
      <alignment horizontal="left" vertical="center"/>
    </xf>
    <xf numFmtId="0" fontId="8" fillId="0" borderId="10" xfId="0" applyFont="true" applyAlignment="true" applyBorder="true">
      <alignment horizontal="left" vertical="center"/>
    </xf>
    <xf numFmtId="0" fontId="8" fillId="11" borderId="10" xfId="0" applyFont="true" applyFill="true" applyAlignment="true" applyBorder="true">
      <alignment horizontal="left" vertical="center"/>
    </xf>
    <xf numFmtId="2" fontId="7" fillId="0" borderId="10" xfId="0" applyFont="true" applyNumberFormat="true" applyAlignment="true" applyBorder="true">
      <alignment horizontal="right" vertical="center"/>
    </xf>
    <xf numFmtId="2" fontId="7" fillId="11" borderId="10" xfId="0" applyFont="true" applyFill="true" applyNumberFormat="true" applyAlignment="true" applyBorder="true">
      <alignment horizontal="right" vertical="center"/>
    </xf>
    <xf numFmtId="0" fontId="7" fillId="0" borderId="10" xfId="0" applyFont="true" applyAlignment="true" applyBorder="true">
      <alignment horizontal="right" vertical="center"/>
    </xf>
    <xf numFmtId="0" fontId="7" fillId="11" borderId="10" xfId="0" applyFont="true" applyFill="true" applyAlignment="true" applyBorder="true">
      <alignment horizontal="right" vertical="center"/>
    </xf>
    <xf numFmtId="0" fontId="7" fillId="13" borderId="10" xfId="0" applyFont="true" applyFill="true" applyAlignment="true" applyBorder="true">
      <alignment horizontal="left" vertical="center"/>
    </xf>
    <xf numFmtId="0" fontId="7" fillId="13" borderId="10" xfId="0" applyFont="true" applyFill="true" applyAlignment="true" applyBorder="true">
      <alignment horizontal="center" vertical="center"/>
    </xf>
    <xf numFmtId="0" fontId="8" fillId="15" borderId="10" xfId="0" applyFont="true" applyFill="true" applyAlignment="true" applyBorder="true">
      <alignment horizontal="right" vertical="center"/>
    </xf>
    <xf numFmtId="0" fontId="7" fillId="9" borderId="10" xfId="0" applyFont="true" applyFill="true" applyAlignment="true" applyBorder="true">
      <alignment horizontal="left" vertical="center"/>
    </xf>
    <xf numFmtId="0" fontId="8" fillId="17" borderId="10" xfId="0" applyFont="true" applyFill="true" applyAlignment="true" applyBorder="true">
      <alignment horizontal="center" vertical="center"/>
    </xf>
    <xf numFmtId="0" fontId="7" fillId="0" borderId="10" xfId="0" applyFont="true" applyAlignment="true" applyBorder="true">
      <alignment wrapText="true" horizontal="left" vertical="top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sharedStrings.xml" Type="http://schemas.openxmlformats.org/officeDocument/2006/relationships/sharedStrings"/><Relationship Id="rId17" Target="worksheets/sheet14.xml" Type="http://schemas.openxmlformats.org/officeDocument/2006/relationships/worksheet"/><Relationship Id="rId18" Target="worksheets/sheet15.xml" Type="http://schemas.openxmlformats.org/officeDocument/2006/relationships/worksheet"/><Relationship Id="rId19" Target="worksheets/sheet16.xml" Type="http://schemas.openxmlformats.org/officeDocument/2006/relationships/worksheet"/><Relationship Id="rId2" Target="styles.xml" Type="http://schemas.openxmlformats.org/officeDocument/2006/relationships/styles"/><Relationship Id="rId20" Target="worksheets/sheet17.xml" Type="http://schemas.openxmlformats.org/officeDocument/2006/relationships/worksheet"/><Relationship Id="rId21" Target="worksheets/sheet18.xml" Type="http://schemas.openxmlformats.org/officeDocument/2006/relationships/worksheet"/><Relationship Id="rId22" Target="worksheets/sheet19.xml" Type="http://schemas.openxmlformats.org/officeDocument/2006/relationships/worksheet"/><Relationship Id="rId23" Target="worksheets/sheet20.xml" Type="http://schemas.openxmlformats.org/officeDocument/2006/relationships/worksheet"/><Relationship Id="rId24" Target="worksheets/sheet21.xml" Type="http://schemas.openxmlformats.org/officeDocument/2006/relationships/worksheet"/><Relationship Id="rId25" Target="worksheets/sheet22.xml" Type="http://schemas.openxmlformats.org/officeDocument/2006/relationships/worksheet"/><Relationship Id="rId26" Target="worksheets/sheet23.xml" Type="http://schemas.openxmlformats.org/officeDocument/2006/relationships/worksheet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120.0" collapsed="false" outlineLevel="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4" customWidth="true" hidden="false" style="0" width="5.0" collapsed="false" outlineLevel="0"/>
  </cols>
  <sheetData>
    <row r="1" customFormat="false" ht="15" hidden="false" customHeight="false" outlineLevel="0" collapsed="false">
      <c r="A1" s="3" t="s">
        <v>7</v>
      </c>
      <c r="B1" s="3" t="s">
        <v>8</v>
      </c>
      <c r="C1" s="3" t="s">
        <v>9</v>
      </c>
      <c r="D1" s="3" t="s">
        <v>10</v>
      </c>
    </row>
    <row r="2" customFormat="false" ht="41.75" hidden="false" customHeight="false" outlineLevel="0" collapsed="false">
      <c r="A2" s="4" t="s">
        <v>11</v>
      </c>
      <c r="B2" s="4" t="s">
        <v>12</v>
      </c>
      <c r="C2" s="4" t="n">
        <v>4</v>
      </c>
      <c r="D2" s="4" t="n">
        <v>1</v>
      </c>
    </row>
    <row r="3" customFormat="false" ht="41.75" hidden="false" customHeight="false" outlineLevel="0" collapsed="false">
      <c r="A3" s="4" t="s">
        <v>13</v>
      </c>
      <c r="B3" s="4" t="s">
        <v>14</v>
      </c>
      <c r="C3" s="4" t="n">
        <v>4</v>
      </c>
      <c r="D3" s="4" t="n">
        <v>1</v>
      </c>
    </row>
    <row r="4" customFormat="false" ht="55.2" hidden="false" customHeight="false" outlineLevel="0" collapsed="false">
      <c r="A4" s="4" t="s">
        <v>15</v>
      </c>
      <c r="B4" s="4" t="s">
        <v>16</v>
      </c>
      <c r="C4" s="4" t="n">
        <v>4</v>
      </c>
      <c r="D4" s="4" t="n">
        <v>1</v>
      </c>
    </row>
    <row r="5" customFormat="false" ht="41.75" hidden="false" customHeight="false" outlineLevel="0" collapsed="false">
      <c r="A5" s="4" t="s">
        <v>17</v>
      </c>
      <c r="B5" s="4" t="s">
        <v>18</v>
      </c>
      <c r="C5" s="4" t="n">
        <v>4</v>
      </c>
      <c r="D5" s="4" t="n">
        <v>1</v>
      </c>
    </row>
    <row r="6" customFormat="false" ht="55.2" hidden="false" customHeight="false" outlineLevel="0" collapsed="false">
      <c r="A6" s="4" t="s">
        <v>19</v>
      </c>
      <c r="B6" s="4" t="s">
        <v>20</v>
      </c>
      <c r="C6" s="4" t="n">
        <v>4</v>
      </c>
      <c r="D6" s="4" t="n">
        <v>1</v>
      </c>
    </row>
    <row r="7" customFormat="false" ht="55.2" hidden="false" customHeight="false" outlineLevel="0" collapsed="false">
      <c r="A7" s="4" t="s">
        <v>21</v>
      </c>
      <c r="B7" s="4" t="s">
        <v>22</v>
      </c>
      <c r="C7" s="4" t="n">
        <v>4</v>
      </c>
      <c r="D7" s="4" t="n">
        <v>1</v>
      </c>
    </row>
    <row r="8" customFormat="false" ht="82.05" hidden="false" customHeight="false" outlineLevel="0" collapsed="false">
      <c r="A8" s="4" t="s">
        <v>23</v>
      </c>
      <c r="B8" s="4" t="s">
        <v>24</v>
      </c>
      <c r="C8" s="4" t="n">
        <v>6</v>
      </c>
      <c r="D8" s="4" t="n">
        <v>2</v>
      </c>
    </row>
    <row r="9" customFormat="false" ht="41.75" hidden="false" customHeight="false" outlineLevel="0" collapsed="false">
      <c r="A9" s="4" t="s">
        <v>25</v>
      </c>
      <c r="B9" s="4" t="s">
        <v>26</v>
      </c>
      <c r="C9" s="4" t="n">
        <v>4</v>
      </c>
      <c r="D9" s="4" t="n">
        <v>1</v>
      </c>
    </row>
    <row r="10" customFormat="false" ht="41.75" hidden="false" customHeight="false" outlineLevel="0" collapsed="false">
      <c r="A10" s="4" t="s">
        <v>27</v>
      </c>
      <c r="B10" s="4" t="s">
        <v>28</v>
      </c>
      <c r="C10" s="4" t="n">
        <v>4</v>
      </c>
      <c r="D10" s="4" t="n">
        <v>1</v>
      </c>
    </row>
    <row r="11" customFormat="false" ht="41.75" hidden="false" customHeight="false" outlineLevel="0" collapsed="false">
      <c r="A11" s="4" t="s">
        <v>29</v>
      </c>
      <c r="B11" s="4" t="s">
        <v>30</v>
      </c>
      <c r="C11" s="4" t="n">
        <v>4</v>
      </c>
      <c r="D11" s="4" t="n">
        <v>1</v>
      </c>
    </row>
    <row r="12" customFormat="false" ht="68.65" hidden="false" customHeight="false" outlineLevel="0" collapsed="false">
      <c r="A12" s="4" t="s">
        <v>31</v>
      </c>
      <c r="B12" s="4" t="s">
        <v>32</v>
      </c>
      <c r="C12" s="4" t="n">
        <v>4</v>
      </c>
      <c r="D12" s="4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46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11</v>
      </c>
      <c r="B16" s="4" t="s">
        <v>48</v>
      </c>
      <c r="C16" s="4" t="s">
        <v>48</v>
      </c>
      <c r="D16" s="4" t="s">
        <v>48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48</v>
      </c>
      <c r="N16" s="4" t="s">
        <v>48</v>
      </c>
      <c r="O16" s="4" t="s">
        <v>48</v>
      </c>
      <c r="P16" s="4" t="s">
        <v>48</v>
      </c>
      <c r="Q16" s="4" t="s">
        <v>48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52</v>
      </c>
    </row>
    <row r="21" customFormat="false" ht="28.35" hidden="false" customHeight="false" outlineLevel="0" collapsed="false">
      <c r="A21" s="6" t="s">
        <v>53</v>
      </c>
      <c r="B21" s="4" t="s">
        <v>54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58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13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59</v>
      </c>
      <c r="G10" s="4" t="s">
        <v>59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59</v>
      </c>
      <c r="O10" s="4" t="s">
        <v>59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13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28.35" hidden="false" customHeight="false" outlineLevel="0" collapsed="false">
      <c r="A21" s="6" t="s">
        <v>53</v>
      </c>
      <c r="B21" s="4" t="s">
        <v>61</v>
      </c>
    </row>
    <row r="22" customFormat="false" ht="15" hidden="false" customHeight="false" outlineLevel="0" collapsed="false">
      <c r="A22" s="6" t="s">
        <v>55</v>
      </c>
      <c r="B22" s="4" t="s">
        <v>62</v>
      </c>
    </row>
    <row r="23" customFormat="false" ht="135.8" hidden="false" customHeight="false" outlineLevel="0" collapsed="false">
      <c r="A23" s="6" t="s">
        <v>57</v>
      </c>
      <c r="B23" s="4" t="s">
        <v>63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0" activeCellId="0" sqref="L2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45</v>
      </c>
      <c r="K10" s="4" t="s">
        <v>59</v>
      </c>
      <c r="L10" s="4" t="s">
        <v>60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43.25" hidden="false" customHeight="false" outlineLevel="0" collapsed="false">
      <c r="A20" s="6" t="s">
        <v>51</v>
      </c>
      <c r="B20" s="4" t="s">
        <v>64</v>
      </c>
    </row>
    <row r="21" customFormat="false" ht="28.35" hidden="false" customHeight="false" outlineLevel="0" collapsed="false">
      <c r="A21" s="6" t="s">
        <v>53</v>
      </c>
      <c r="B21" s="4" t="s">
        <v>65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08.95" hidden="false" customHeight="false" outlineLevel="0" collapsed="false">
      <c r="A23" s="6" t="s">
        <v>57</v>
      </c>
      <c r="B23" s="4" t="s">
        <v>66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45</v>
      </c>
      <c r="I10" s="4" t="s">
        <v>45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46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35.8" hidden="false" customHeight="false" outlineLevel="0" collapsed="false">
      <c r="A20" s="6" t="s">
        <v>51</v>
      </c>
      <c r="B20" s="4" t="s">
        <v>67</v>
      </c>
    </row>
    <row r="21" customFormat="false" ht="82.05" hidden="false" customHeight="false" outlineLevel="0" collapsed="false">
      <c r="A21" s="6" t="s">
        <v>53</v>
      </c>
      <c r="B21" s="4" t="s">
        <v>68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49.25" hidden="false" customHeight="false" outlineLevel="0" collapsed="false">
      <c r="A23" s="6" t="s">
        <v>57</v>
      </c>
      <c r="B23" s="4" t="s">
        <v>69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60</v>
      </c>
      <c r="K10" s="4" t="s">
        <v>60</v>
      </c>
      <c r="L10" s="4" t="s">
        <v>60</v>
      </c>
      <c r="M10" s="4" t="s">
        <v>60</v>
      </c>
      <c r="N10" s="4" t="s">
        <v>60</v>
      </c>
      <c r="O10" s="4" t="s">
        <v>60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70</v>
      </c>
    </row>
    <row r="21" customFormat="false" ht="55.2" hidden="false" customHeight="false" outlineLevel="0" collapsed="false">
      <c r="A21" s="6" t="s">
        <v>53</v>
      </c>
      <c r="B21" s="4" t="s">
        <v>71</v>
      </c>
    </row>
    <row r="22" customFormat="false" ht="41.75" hidden="false" customHeight="false" outlineLevel="0" collapsed="false">
      <c r="A22" s="6" t="s">
        <v>55</v>
      </c>
      <c r="B22" s="4" t="s">
        <v>72</v>
      </c>
    </row>
    <row r="23" customFormat="false" ht="256.7" hidden="false" customHeight="false" outlineLevel="0" collapsed="false">
      <c r="A23" s="6" t="s">
        <v>57</v>
      </c>
      <c r="B23" s="4" t="s">
        <v>73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60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60</v>
      </c>
      <c r="I10" s="4" t="s">
        <v>60</v>
      </c>
      <c r="J10" s="4" t="s">
        <v>45</v>
      </c>
      <c r="K10" s="4" t="s">
        <v>59</v>
      </c>
      <c r="L10" s="4" t="s">
        <v>60</v>
      </c>
      <c r="M10" s="4" t="s">
        <v>60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21</v>
      </c>
      <c r="B16" s="4" t="s">
        <v>49</v>
      </c>
      <c r="C16" s="4" t="s">
        <v>48</v>
      </c>
      <c r="D16" s="4" t="s">
        <v>48</v>
      </c>
      <c r="E16" s="4" t="s">
        <v>48</v>
      </c>
      <c r="F16" s="4" t="s">
        <v>48</v>
      </c>
      <c r="G16" s="4" t="s">
        <v>48</v>
      </c>
      <c r="H16" s="4" t="s">
        <v>48</v>
      </c>
      <c r="I16" s="4" t="s">
        <v>48</v>
      </c>
      <c r="J16" s="4" t="s">
        <v>48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74</v>
      </c>
    </row>
    <row r="21" customFormat="false" ht="28.35" hidden="false" customHeight="false" outlineLevel="0" collapsed="false">
      <c r="A21" s="6" t="s">
        <v>53</v>
      </c>
      <c r="B21" s="4" t="s">
        <v>75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76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28.35" hidden="false" customHeight="false" outlineLevel="0" collapsed="false">
      <c r="A4" s="6" t="s">
        <v>7</v>
      </c>
      <c r="B4" s="4" t="s">
        <v>23</v>
      </c>
    </row>
    <row r="5" customFormat="false" ht="15" hidden="false" customHeight="false" outlineLevel="0" collapsed="false">
      <c r="A5" s="6" t="s">
        <v>9</v>
      </c>
      <c r="B5" s="4" t="n">
        <v>6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59</v>
      </c>
      <c r="I10" s="4" t="s">
        <v>59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77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78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28.35" hidden="false" customHeight="false" outlineLevel="0" collapsed="false">
      <c r="A22" s="6" t="s">
        <v>53</v>
      </c>
      <c r="B22" s="4" t="s">
        <v>79</v>
      </c>
    </row>
    <row r="23" customFormat="false" ht="15" hidden="false" customHeight="false" outlineLevel="0" collapsed="false">
      <c r="A23" s="6" t="s">
        <v>55</v>
      </c>
      <c r="B23" s="4" t="s">
        <v>56</v>
      </c>
    </row>
    <row r="24" customFormat="false" ht="82.05" hidden="false" customHeight="false" outlineLevel="0" collapsed="false">
      <c r="A24" s="6" t="s">
        <v>57</v>
      </c>
      <c r="B24" s="4" t="s">
        <v>80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45</v>
      </c>
      <c r="D10" s="4" t="s">
        <v>60</v>
      </c>
      <c r="E10" s="4" t="s">
        <v>59</v>
      </c>
      <c r="F10" s="4" t="s">
        <v>60</v>
      </c>
      <c r="G10" s="4" t="s">
        <v>45</v>
      </c>
      <c r="H10" s="4" t="s">
        <v>60</v>
      </c>
      <c r="I10" s="4" t="s">
        <v>59</v>
      </c>
      <c r="J10" s="4" t="s">
        <v>60</v>
      </c>
      <c r="K10" s="4" t="s">
        <v>45</v>
      </c>
      <c r="L10" s="4" t="s">
        <v>60</v>
      </c>
      <c r="M10" s="4" t="s">
        <v>59</v>
      </c>
      <c r="N10" s="4" t="s">
        <v>60</v>
      </c>
      <c r="O10" s="4" t="s">
        <v>45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68.65" hidden="false" customHeight="false" outlineLevel="0" collapsed="false">
      <c r="A21" s="6" t="s">
        <v>53</v>
      </c>
      <c r="B21" s="4" t="s">
        <v>81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62.65" hidden="false" customHeight="false" outlineLevel="0" collapsed="false">
      <c r="A23" s="6" t="s">
        <v>57</v>
      </c>
      <c r="B23" s="4" t="s">
        <v>82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45</v>
      </c>
      <c r="F10" s="4" t="s">
        <v>60</v>
      </c>
      <c r="G10" s="4" t="s">
        <v>45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60</v>
      </c>
      <c r="M10" s="4" t="s">
        <v>45</v>
      </c>
      <c r="N10" s="4" t="s">
        <v>60</v>
      </c>
      <c r="O10" s="4" t="s">
        <v>45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83</v>
      </c>
    </row>
    <row r="21" customFormat="false" ht="28.35" hidden="false" customHeight="false" outlineLevel="0" collapsed="false">
      <c r="A21" s="6" t="s">
        <v>53</v>
      </c>
      <c r="B21" s="4" t="s">
        <v>84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85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59</v>
      </c>
      <c r="K10" s="4" t="s">
        <v>59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41.75" hidden="false" customHeight="false" outlineLevel="0" collapsed="false">
      <c r="A21" s="6" t="s">
        <v>53</v>
      </c>
      <c r="B21" s="4" t="s">
        <v>86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89.55" hidden="false" customHeight="false" outlineLevel="0" collapsed="false">
      <c r="A23" s="6" t="s">
        <v>57</v>
      </c>
      <c r="B23" s="4" t="s">
        <v>87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min="1" max="1" customWidth="true" hidden="false" style="0" width="28.0" collapsed="false" outlineLevel="0"/>
    <col min="2" max="17" customWidth="true" hidden="false" style="0" width="12.0" collapsed="false" outlineLevel="0"/>
    <col min="18" max="18" customWidth="true" hidden="false" style="0" width="40.0" collapsed="false" outlineLevel="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31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60</v>
      </c>
      <c r="G10" s="4" t="s">
        <v>59</v>
      </c>
      <c r="H10" s="4" t="s">
        <v>60</v>
      </c>
      <c r="I10" s="4" t="s">
        <v>59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88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89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15" hidden="false" customHeight="false" outlineLevel="0" collapsed="false">
      <c r="A22" s="6" t="s">
        <v>53</v>
      </c>
      <c r="B22" s="4"/>
    </row>
    <row r="23" customFormat="false" ht="15" hidden="false" customHeight="false" outlineLevel="0" collapsed="false">
      <c r="A23" s="6" t="s">
        <v>55</v>
      </c>
      <c r="B23" s="4"/>
    </row>
    <row r="24" customFormat="false" ht="202.95" hidden="false" customHeight="false" outlineLevel="0" collapsed="false">
      <c r="A24" s="6" t="s">
        <v>57</v>
      </c>
      <c r="B24" s="4" t="s">
        <v>90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91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117</v>
      </c>
      <c r="E9" t="s" s="20">
        <v>117</v>
      </c>
      <c r="F9" t="s" s="20">
        <v>110</v>
      </c>
      <c r="G9" t="s" s="20">
        <v>115</v>
      </c>
      <c r="H9" t="s" s="20">
        <v>111</v>
      </c>
      <c r="I9" t="s" s="20">
        <v>111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122</v>
      </c>
      <c r="E10" t="s" s="20">
        <v>116</v>
      </c>
      <c r="F10" t="s" s="20">
        <v>118</v>
      </c>
      <c r="G10" t="s" s="20">
        <v>119</v>
      </c>
      <c r="H10" t="s" s="20">
        <v>120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122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122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169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122</v>
      </c>
      <c r="E9" t="s" s="20">
        <v>116</v>
      </c>
      <c r="F9" t="s" s="20">
        <v>118</v>
      </c>
      <c r="G9" t="s" s="20">
        <v>110</v>
      </c>
      <c r="H9" t="s" s="20">
        <v>115</v>
      </c>
      <c r="I9" t="s" s="20">
        <v>120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119</v>
      </c>
      <c r="E10" t="s" s="20">
        <v>119</v>
      </c>
      <c r="F10" t="s" s="20">
        <v>117</v>
      </c>
      <c r="G10" t="s" s="20">
        <v>111</v>
      </c>
      <c r="H10" t="s" s="20">
        <v>111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124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124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170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117</v>
      </c>
      <c r="E9" t="s" s="20">
        <v>117</v>
      </c>
      <c r="F9" t="s" s="20">
        <v>110</v>
      </c>
      <c r="G9" t="s" s="20">
        <v>115</v>
      </c>
      <c r="H9" t="s" s="20">
        <v>111</v>
      </c>
      <c r="I9" t="s" s="20">
        <v>111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122</v>
      </c>
      <c r="E10" t="s" s="20">
        <v>116</v>
      </c>
      <c r="F10" t="s" s="20">
        <v>118</v>
      </c>
      <c r="G10" t="s" s="20">
        <v>119</v>
      </c>
      <c r="H10" t="s" s="20">
        <v>120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124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107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171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117</v>
      </c>
      <c r="E9" t="s" s="20">
        <v>117</v>
      </c>
      <c r="F9" t="s" s="20">
        <v>110</v>
      </c>
      <c r="G9" t="s" s="20">
        <v>115</v>
      </c>
      <c r="H9" t="s" s="20">
        <v>111</v>
      </c>
      <c r="I9" t="s" s="20">
        <v>111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122</v>
      </c>
      <c r="E10" t="s" s="20">
        <v>116</v>
      </c>
      <c r="F10" t="s" s="20">
        <v>118</v>
      </c>
      <c r="G10" t="s" s="20">
        <v>119</v>
      </c>
      <c r="H10" t="s" s="20">
        <v>120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122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110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172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122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122</v>
      </c>
      <c r="E9" t="s" s="20">
        <v>116</v>
      </c>
      <c r="F9" t="s" s="20">
        <v>118</v>
      </c>
      <c r="G9" t="s" s="20">
        <v>110</v>
      </c>
      <c r="H9" t="s" s="20">
        <v>115</v>
      </c>
      <c r="I9" t="s" s="20">
        <v>120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119</v>
      </c>
      <c r="E10" t="s" s="20">
        <v>119</v>
      </c>
      <c r="F10" t="s" s="20">
        <v>117</v>
      </c>
      <c r="G10" t="s" s="20">
        <v>111</v>
      </c>
      <c r="H10" t="s" s="20">
        <v>111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124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173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117</v>
      </c>
      <c r="E9" t="s" s="20">
        <v>117</v>
      </c>
      <c r="F9" t="s" s="20">
        <v>110</v>
      </c>
      <c r="G9" t="s" s="20">
        <v>115</v>
      </c>
      <c r="H9" t="s" s="20">
        <v>111</v>
      </c>
      <c r="I9" t="s" s="20">
        <v>111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109</v>
      </c>
      <c r="E10" t="s" s="20">
        <v>116</v>
      </c>
      <c r="F10" t="s" s="20">
        <v>118</v>
      </c>
      <c r="G10" t="s" s="20">
        <v>119</v>
      </c>
      <c r="H10" t="s" s="20">
        <v>120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124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112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174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122</v>
      </c>
      <c r="E9" t="s" s="20">
        <v>116</v>
      </c>
      <c r="F9" t="s" s="20">
        <v>118</v>
      </c>
      <c r="G9" t="s" s="20">
        <v>110</v>
      </c>
      <c r="H9" t="s" s="20">
        <v>115</v>
      </c>
      <c r="I9" t="s" s="20">
        <v>120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119</v>
      </c>
      <c r="E10" t="s" s="20">
        <v>119</v>
      </c>
      <c r="F10" t="s" s="20">
        <v>117</v>
      </c>
      <c r="G10" t="s" s="20">
        <v>111</v>
      </c>
      <c r="H10" t="s" s="20">
        <v>111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122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107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175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117</v>
      </c>
      <c r="E9" t="s" s="20">
        <v>117</v>
      </c>
      <c r="F9" t="s" s="20">
        <v>110</v>
      </c>
      <c r="G9" t="s" s="20">
        <v>115</v>
      </c>
      <c r="H9" t="s" s="20">
        <v>111</v>
      </c>
      <c r="I9" t="s" s="20">
        <v>111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122</v>
      </c>
      <c r="E10" t="s" s="20">
        <v>116</v>
      </c>
      <c r="F10" t="s" s="20">
        <v>118</v>
      </c>
      <c r="G10" t="s" s="20">
        <v>119</v>
      </c>
      <c r="H10" t="s" s="20">
        <v>120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124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110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176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124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122</v>
      </c>
      <c r="E9" t="s" s="20">
        <v>116</v>
      </c>
      <c r="F9" t="s" s="20">
        <v>118</v>
      </c>
      <c r="G9" t="s" s="20">
        <v>110</v>
      </c>
      <c r="H9" t="s" s="20">
        <v>115</v>
      </c>
      <c r="I9" t="s" s="20">
        <v>120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119</v>
      </c>
      <c r="E10" t="s" s="20">
        <v>119</v>
      </c>
      <c r="F10" t="s" s="20">
        <v>117</v>
      </c>
      <c r="G10" t="s" s="20">
        <v>111</v>
      </c>
      <c r="H10" t="s" s="20">
        <v>111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124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110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:S142"/>
  <sheetViews>
    <sheetView workbookViewId="0">
      <pane ySplit="4.0" state="frozen" topLeftCell="A5" activePane="bottomLeft"/>
      <selection pane="bottomLeft"/>
    </sheetView>
  </sheetViews>
  <sheetFormatPr defaultRowHeight="15.0"/>
  <cols>
    <col min="11" max="11" hidden="true" width="8.0" customWidth="false"/>
    <col min="12" max="12" hidden="true" width="8.0" customWidth="false"/>
    <col min="13" max="13" hidden="true" width="8.0" customWidth="false"/>
    <col min="14" max="14" hidden="true" width="8.0" customWidth="false"/>
    <col min="15" max="15" hidden="true" width="8.0" customWidth="false"/>
    <col min="16" max="16" hidden="true" width="8.0" customWidth="false"/>
    <col min="1" max="1" width="10.0" customWidth="true"/>
    <col min="2" max="2" width="10.0" customWidth="true"/>
    <col min="3" max="3" width="9.0" customWidth="true"/>
    <col min="4" max="4" width="22.0" customWidth="true"/>
    <col min="5" max="5" width="14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</cols>
  <sheetData>
    <row r="1" ht="24.0" customHeight="true">
      <c r="A1" t="s" s="8">
        <v>177</v>
      </c>
    </row>
    <row r="2">
      <c r="A2" t="s" s="10">
        <v>92</v>
      </c>
    </row>
    <row r="4">
      <c r="A4" t="s" s="12">
        <v>93</v>
      </c>
      <c r="B4" t="s" s="12">
        <v>94</v>
      </c>
      <c r="C4" t="s" s="12">
        <v>95</v>
      </c>
      <c r="D4" t="s" s="13">
        <v>96</v>
      </c>
      <c r="E4" t="s" s="13">
        <v>97</v>
      </c>
      <c r="F4" t="s" s="13">
        <v>98</v>
      </c>
      <c r="G4" t="s" s="13">
        <v>99</v>
      </c>
      <c r="H4" t="s" s="13">
        <v>100</v>
      </c>
      <c r="I4" t="s" s="13">
        <v>101</v>
      </c>
      <c r="J4" t="s" s="13">
        <v>102</v>
      </c>
      <c r="K4" t="s" s="12">
        <v>103</v>
      </c>
      <c r="L4" t="s" s="12">
        <v>103</v>
      </c>
      <c r="M4" t="s" s="12">
        <v>103</v>
      </c>
      <c r="N4" t="s" s="12">
        <v>103</v>
      </c>
      <c r="O4" t="s" s="12">
        <v>103</v>
      </c>
      <c r="P4" t="s" s="12">
        <v>103</v>
      </c>
    </row>
    <row r="5">
      <c r="A5" t="s" s="21">
        <v>104</v>
      </c>
      <c r="B5" t="s" s="21">
        <v>105</v>
      </c>
      <c r="C5" t="s" s="21">
        <v>106</v>
      </c>
      <c r="D5" t="s" s="20">
        <v>107</v>
      </c>
      <c r="E5" t="s" s="20">
        <v>107</v>
      </c>
      <c r="F5" t="s" s="20">
        <v>108</v>
      </c>
      <c r="G5" t="s" s="20">
        <v>109</v>
      </c>
      <c r="H5" t="s" s="20">
        <v>110</v>
      </c>
      <c r="I5" t="s" s="20">
        <v>111</v>
      </c>
      <c r="J5" t="s" s="20">
        <v>111</v>
      </c>
      <c r="K5" s="23">
        <f>IF($A$5="","",$A$5&amp;"|"&amp;$B$5&amp;"|"&amp;$C$5)</f>
      </c>
      <c r="L5" s="23">
        <f>COUNTA($E$5:$J$5)</f>
      </c>
      <c r="M5" s="23">
        <f>IF($D$5="","OK",IFERROR(UPPER(INDIRECT("'Famille - "&amp;$D$5&amp;"'!"&amp;ADDRESS(10,(2+IF($A$5="Paire",0,1)*8+(MATCH($B$5,{"Lundi","Mardi","Jeudi","Vendredi"},0)-1)*2+IF($C$5="Matin",0,1))))),"OK"))</f>
      </c>
      <c r="N5" s="23">
        <f>IF($D$5="",0,IFERROR(INDIRECT("'Famille - "&amp;$D$5&amp;"'!"&amp;"$B$5"),0))</f>
      </c>
      <c r="O5" s="23">
        <f>IF($L$5&gt;$N$5,$L$5-$N$5,0)</f>
      </c>
      <c r="P5" s="23">
        <f>","&amp;TEXTJOIN(",",TRUE,$E$5:$J$5)&amp;","</f>
      </c>
    </row>
    <row r="6">
      <c r="A6" t="s" s="21">
        <v>104</v>
      </c>
      <c r="B6" t="s" s="21">
        <v>105</v>
      </c>
      <c r="C6" t="s" s="21">
        <v>106</v>
      </c>
      <c r="D6" t="s" s="20">
        <v>112</v>
      </c>
      <c r="E6" t="s" s="20">
        <v>113</v>
      </c>
      <c r="F6" t="s" s="20">
        <v>114</v>
      </c>
      <c r="G6" t="s" s="20">
        <v>115</v>
      </c>
      <c r="H6" t="s" s="20">
        <v>116</v>
      </c>
      <c r="I6" t="s" s="20">
        <v>111</v>
      </c>
      <c r="J6" t="s" s="20">
        <v>111</v>
      </c>
      <c r="K6" s="23">
        <f>IF($A$6="","",$A$6&amp;"|"&amp;$B$6&amp;"|"&amp;$C$6)</f>
      </c>
      <c r="L6" s="23">
        <f>COUNTA($E$6:$J$6)</f>
      </c>
      <c r="M6" s="23">
        <f>IF($D$6="","OK",IFERROR(UPPER(INDIRECT("'Famille - "&amp;$D$6&amp;"'!"&amp;ADDRESS(10,(2+IF($A$6="Paire",0,1)*8+(MATCH($B$6,{"Lundi","Mardi","Jeudi","Vendredi"},0)-1)*2+IF($C$6="Matin",0,1))))),"OK"))</f>
      </c>
      <c r="N6" s="23">
        <f>IF($D$6="",0,IFERROR(INDIRECT("'Famille - "&amp;$D$6&amp;"'!"&amp;"$B$5"),0))</f>
      </c>
      <c r="O6" s="23">
        <f>IF($L$6&gt;$N$6,$L$6-$N$6,0)</f>
      </c>
      <c r="P6" s="23">
        <f>","&amp;TEXTJOIN(",",TRUE,$E$6:$J$6)&amp;","</f>
      </c>
    </row>
    <row r="7">
      <c r="A7" t="s" s="21">
        <v>104</v>
      </c>
      <c r="B7" t="s" s="21">
        <v>105</v>
      </c>
      <c r="C7" t="s" s="21">
        <v>106</v>
      </c>
      <c r="D7" t="s" s="20">
        <v>117</v>
      </c>
      <c r="E7" t="s" s="20">
        <v>117</v>
      </c>
      <c r="F7" t="s" s="20">
        <v>118</v>
      </c>
      <c r="G7" t="s" s="20">
        <v>119</v>
      </c>
      <c r="H7" t="s" s="20">
        <v>120</v>
      </c>
      <c r="I7" t="s" s="20">
        <v>111</v>
      </c>
      <c r="J7" t="s" s="20">
        <v>111</v>
      </c>
      <c r="K7" s="23">
        <f>IF($A$7="","",$A$7&amp;"|"&amp;$B$7&amp;"|"&amp;$C$7)</f>
      </c>
      <c r="L7" s="23">
        <f>COUNTA($E$7:$J$7)</f>
      </c>
      <c r="M7" s="23">
        <f>IF($D$7="","OK",IFERROR(UPPER(INDIRECT("'Famille - "&amp;$D$7&amp;"'!"&amp;ADDRESS(10,(2+IF($A$7="Paire",0,1)*8+(MATCH($B$7,{"Lundi","Mardi","Jeudi","Vendredi"},0)-1)*2+IF($C$7="Matin",0,1))))),"OK"))</f>
      </c>
      <c r="N7" s="23">
        <f>IF($D$7="",0,IFERROR(INDIRECT("'Famille - "&amp;$D$7&amp;"'!"&amp;"$B$5"),0))</f>
      </c>
      <c r="O7" s="23">
        <f>IF($L$7&gt;$N$7,$L$7-$N$7,0)</f>
      </c>
      <c r="P7" s="23">
        <f>","&amp;TEXTJOIN(",",TRUE,$E$7:$J$7)&amp;","</f>
      </c>
    </row>
    <row r="8">
      <c r="A8" t="s" s="21">
        <v>104</v>
      </c>
      <c r="B8" t="s" s="21">
        <v>105</v>
      </c>
      <c r="C8" t="s" s="21">
        <v>121</v>
      </c>
      <c r="D8" t="s" s="20">
        <v>112</v>
      </c>
      <c r="E8" t="s" s="20">
        <v>113</v>
      </c>
      <c r="F8" t="s" s="20">
        <v>114</v>
      </c>
      <c r="G8" t="s" s="20">
        <v>108</v>
      </c>
      <c r="H8" t="s" s="20">
        <v>109</v>
      </c>
      <c r="I8" t="s" s="20">
        <v>111</v>
      </c>
      <c r="J8" t="s" s="20">
        <v>111</v>
      </c>
      <c r="K8" s="23">
        <f>IF($A$8="","",$A$8&amp;"|"&amp;$B$8&amp;"|"&amp;$C$8)</f>
      </c>
      <c r="L8" s="23">
        <f>COUNTA($E$8:$J$8)</f>
      </c>
      <c r="M8" s="23">
        <f>IF($D$8="","OK",IFERROR(UPPER(INDIRECT("'Famille - "&amp;$D$8&amp;"'!"&amp;ADDRESS(10,(2+IF($A$8="Paire",0,1)*8+(MATCH($B$8,{"Lundi","Mardi","Jeudi","Vendredi"},0)-1)*2+IF($C$8="Matin",0,1))))),"OK"))</f>
      </c>
      <c r="N8" s="23">
        <f>IF($D$8="",0,IFERROR(INDIRECT("'Famille - "&amp;$D$8&amp;"'!"&amp;"$B$5"),0))</f>
      </c>
      <c r="O8" s="23">
        <f>IF($L$8&gt;$N$8,$L$8-$N$8,0)</f>
      </c>
      <c r="P8" s="23">
        <f>","&amp;TEXTJOIN(",",TRUE,$E$8:$J$8)&amp;","</f>
      </c>
    </row>
    <row r="9">
      <c r="A9" t="s" s="21">
        <v>104</v>
      </c>
      <c r="B9" t="s" s="21">
        <v>105</v>
      </c>
      <c r="C9" t="s" s="21">
        <v>121</v>
      </c>
      <c r="D9" t="s" s="20">
        <v>122</v>
      </c>
      <c r="E9" t="s" s="20">
        <v>116</v>
      </c>
      <c r="F9" t="s" s="20">
        <v>118</v>
      </c>
      <c r="G9" t="s" s="20">
        <v>110</v>
      </c>
      <c r="H9" t="s" s="20">
        <v>115</v>
      </c>
      <c r="I9" t="s" s="20">
        <v>120</v>
      </c>
      <c r="J9" t="s" s="20">
        <v>111</v>
      </c>
      <c r="K9" s="23">
        <f>IF($A$9="","",$A$9&amp;"|"&amp;$B$9&amp;"|"&amp;$C$9)</f>
      </c>
      <c r="L9" s="23">
        <f>COUNTA($E$9:$J$9)</f>
      </c>
      <c r="M9" s="23">
        <f>IF($D$9="","OK",IFERROR(UPPER(INDIRECT("'Famille - "&amp;$D$9&amp;"'!"&amp;ADDRESS(10,(2+IF($A$9="Paire",0,1)*8+(MATCH($B$9,{"Lundi","Mardi","Jeudi","Vendredi"},0)-1)*2+IF($C$9="Matin",0,1))))),"OK"))</f>
      </c>
      <c r="N9" s="23">
        <f>IF($D$9="",0,IFERROR(INDIRECT("'Famille - "&amp;$D$9&amp;"'!"&amp;"$B$5"),0))</f>
      </c>
      <c r="O9" s="23">
        <f>IF($L$9&gt;$N$9,$L$9-$N$9,0)</f>
      </c>
      <c r="P9" s="23">
        <f>","&amp;TEXTJOIN(",",TRUE,$E$9:$J$9)&amp;","</f>
      </c>
    </row>
    <row r="10">
      <c r="A10" t="s" s="21">
        <v>104</v>
      </c>
      <c r="B10" t="s" s="21">
        <v>105</v>
      </c>
      <c r="C10" t="s" s="21">
        <v>121</v>
      </c>
      <c r="D10" t="s" s="20">
        <v>119</v>
      </c>
      <c r="E10" t="s" s="20">
        <v>119</v>
      </c>
      <c r="F10" t="s" s="20">
        <v>117</v>
      </c>
      <c r="G10" t="s" s="20">
        <v>111</v>
      </c>
      <c r="H10" t="s" s="20">
        <v>111</v>
      </c>
      <c r="I10" t="s" s="20">
        <v>111</v>
      </c>
      <c r="J10" t="s" s="20">
        <v>111</v>
      </c>
      <c r="K10" s="23">
        <f>IF($A$10="","",$A$10&amp;"|"&amp;$B$10&amp;"|"&amp;$C$10)</f>
      </c>
      <c r="L10" s="23">
        <f>COUNTA($E$10:$J$10)</f>
      </c>
      <c r="M10" s="23">
        <f>IF($D$10="","OK",IFERROR(UPPER(INDIRECT("'Famille - "&amp;$D$10&amp;"'!"&amp;ADDRESS(10,(2+IF($A$10="Paire",0,1)*8+(MATCH($B$10,{"Lundi","Mardi","Jeudi","Vendredi"},0)-1)*2+IF($C$10="Matin",0,1))))),"OK"))</f>
      </c>
      <c r="N10" s="23">
        <f>IF($D$10="",0,IFERROR(INDIRECT("'Famille - "&amp;$D$10&amp;"'!"&amp;"$B$5"),0))</f>
      </c>
      <c r="O10" s="23">
        <f>IF($L$10&gt;$N$10,$L$10-$N$10,0)</f>
      </c>
      <c r="P10" s="23">
        <f>","&amp;TEXTJOIN(",",TRUE,$E$10:$J$10)&amp;","</f>
      </c>
    </row>
    <row r="11">
      <c r="A11" t="s" s="21">
        <v>104</v>
      </c>
      <c r="B11" t="s" s="21">
        <v>123</v>
      </c>
      <c r="C11" t="s" s="21">
        <v>106</v>
      </c>
      <c r="D11" t="s" s="20">
        <v>122</v>
      </c>
      <c r="E11" t="s" s="20">
        <v>110</v>
      </c>
      <c r="F11" t="s" s="20">
        <v>115</v>
      </c>
      <c r="G11" t="s" s="20">
        <v>111</v>
      </c>
      <c r="H11" t="s" s="20">
        <v>111</v>
      </c>
      <c r="I11" t="s" s="20">
        <v>111</v>
      </c>
      <c r="J11" t="s" s="20">
        <v>111</v>
      </c>
      <c r="K11" s="23">
        <f>IF($A$11="","",$A$11&amp;"|"&amp;$B$11&amp;"|"&amp;$C$11)</f>
      </c>
      <c r="L11" s="23">
        <f>COUNTA($E$11:$J$11)</f>
      </c>
      <c r="M11" s="23">
        <f>IF($D$11="","OK",IFERROR(UPPER(INDIRECT("'Famille - "&amp;$D$11&amp;"'!"&amp;ADDRESS(10,(2+IF($A$11="Paire",0,1)*8+(MATCH($B$11,{"Lundi","Mardi","Jeudi","Vendredi"},0)-1)*2+IF($C$11="Matin",0,1))))),"OK"))</f>
      </c>
      <c r="N11" s="23">
        <f>IF($D$11="",0,IFERROR(INDIRECT("'Famille - "&amp;$D$11&amp;"'!"&amp;"$B$5"),0))</f>
      </c>
      <c r="O11" s="23">
        <f>IF($L$11&gt;$N$11,$L$11-$N$11,0)</f>
      </c>
      <c r="P11" s="23">
        <f>","&amp;TEXTJOIN(",",TRUE,$E$11:$J$11)&amp;","</f>
      </c>
    </row>
    <row r="12">
      <c r="A12" t="s" s="21">
        <v>104</v>
      </c>
      <c r="B12" t="s" s="21">
        <v>123</v>
      </c>
      <c r="C12" t="s" s="21">
        <v>106</v>
      </c>
      <c r="D12" t="s" s="20">
        <v>108</v>
      </c>
      <c r="E12" t="s" s="20">
        <v>108</v>
      </c>
      <c r="F12" t="s" s="20">
        <v>116</v>
      </c>
      <c r="G12" t="s" s="20">
        <v>118</v>
      </c>
      <c r="H12" t="s" s="20">
        <v>119</v>
      </c>
      <c r="I12" t="s" s="20">
        <v>111</v>
      </c>
      <c r="J12" t="s" s="20">
        <v>111</v>
      </c>
      <c r="K12" s="23">
        <f>IF($A$12="","",$A$12&amp;"|"&amp;$B$12&amp;"|"&amp;$C$12)</f>
      </c>
      <c r="L12" s="23">
        <f>COUNTA($E$12:$J$12)</f>
      </c>
      <c r="M12" s="23">
        <f>IF($D$12="","OK",IFERROR(UPPER(INDIRECT("'Famille - "&amp;$D$12&amp;"'!"&amp;ADDRESS(10,(2+IF($A$12="Paire",0,1)*8+(MATCH($B$12,{"Lundi","Mardi","Jeudi","Vendredi"},0)-1)*2+IF($C$12="Matin",0,1))))),"OK"))</f>
      </c>
      <c r="N12" s="23">
        <f>IF($D$12="",0,IFERROR(INDIRECT("'Famille - "&amp;$D$12&amp;"'!"&amp;"$B$5"),0))</f>
      </c>
      <c r="O12" s="23">
        <f>IF($L$12&gt;$N$12,$L$12-$N$12,0)</f>
      </c>
      <c r="P12" s="23">
        <f>","&amp;TEXTJOIN(",",TRUE,$E$12:$J$12)&amp;","</f>
      </c>
    </row>
    <row r="13">
      <c r="A13" t="s" s="21">
        <v>104</v>
      </c>
      <c r="B13" t="s" s="21">
        <v>123</v>
      </c>
      <c r="C13" t="s" s="21">
        <v>106</v>
      </c>
      <c r="D13" t="s" s="20">
        <v>109</v>
      </c>
      <c r="E13" t="s" s="20">
        <v>109</v>
      </c>
      <c r="F13" t="s" s="20">
        <v>120</v>
      </c>
      <c r="G13" t="s" s="20">
        <v>117</v>
      </c>
      <c r="H13" t="s" s="20">
        <v>111</v>
      </c>
      <c r="I13" t="s" s="20">
        <v>111</v>
      </c>
      <c r="J13" t="s" s="20">
        <v>111</v>
      </c>
      <c r="K13" s="23">
        <f>IF($A$13="","",$A$13&amp;"|"&amp;$B$13&amp;"|"&amp;$C$13)</f>
      </c>
      <c r="L13" s="23">
        <f>COUNTA($E$13:$J$13)</f>
      </c>
      <c r="M13" s="23">
        <f>IF($D$13="","OK",IFERROR(UPPER(INDIRECT("'Famille - "&amp;$D$13&amp;"'!"&amp;ADDRESS(10,(2+IF($A$13="Paire",0,1)*8+(MATCH($B$13,{"Lundi","Mardi","Jeudi","Vendredi"},0)-1)*2+IF($C$13="Matin",0,1))))),"OK"))</f>
      </c>
      <c r="N13" s="23">
        <f>IF($D$13="",0,IFERROR(INDIRECT("'Famille - "&amp;$D$13&amp;"'!"&amp;"$B$5"),0))</f>
      </c>
      <c r="O13" s="23">
        <f>IF($L$13&gt;$N$13,$L$13-$N$13,0)</f>
      </c>
      <c r="P13" s="23">
        <f>","&amp;TEXTJOIN(",",TRUE,$E$13:$J$13)&amp;","</f>
      </c>
    </row>
    <row r="14">
      <c r="A14" t="s" s="21">
        <v>104</v>
      </c>
      <c r="B14" t="s" s="21">
        <v>123</v>
      </c>
      <c r="C14" t="s" s="21">
        <v>106</v>
      </c>
      <c r="D14" t="s" s="20">
        <v>112</v>
      </c>
      <c r="E14" t="s" s="20">
        <v>113</v>
      </c>
      <c r="F14" t="s" s="20">
        <v>114</v>
      </c>
      <c r="G14" t="s" s="20">
        <v>111</v>
      </c>
      <c r="H14" t="s" s="20">
        <v>111</v>
      </c>
      <c r="I14" t="s" s="20">
        <v>111</v>
      </c>
      <c r="J14" t="s" s="20">
        <v>111</v>
      </c>
      <c r="K14" s="23">
        <f>IF($A$14="","",$A$14&amp;"|"&amp;$B$14&amp;"|"&amp;$C$14)</f>
      </c>
      <c r="L14" s="23">
        <f>COUNTA($E$14:$J$14)</f>
      </c>
      <c r="M14" s="23">
        <f>IF($D$14="","OK",IFERROR(UPPER(INDIRECT("'Famille - "&amp;$D$14&amp;"'!"&amp;ADDRESS(10,(2+IF($A$14="Paire",0,1)*8+(MATCH($B$14,{"Lundi","Mardi","Jeudi","Vendredi"},0)-1)*2+IF($C$14="Matin",0,1))))),"OK"))</f>
      </c>
      <c r="N14" s="23">
        <f>IF($D$14="",0,IFERROR(INDIRECT("'Famille - "&amp;$D$14&amp;"'!"&amp;"$B$5"),0))</f>
      </c>
      <c r="O14" s="23">
        <f>IF($L$14&gt;$N$14,$L$14-$N$14,0)</f>
      </c>
      <c r="P14" s="23">
        <f>","&amp;TEXTJOIN(",",TRUE,$E$14:$J$14)&amp;","</f>
      </c>
    </row>
    <row r="15">
      <c r="A15" t="s" s="21">
        <v>104</v>
      </c>
      <c r="B15" t="s" s="21">
        <v>123</v>
      </c>
      <c r="C15" t="s" s="21">
        <v>121</v>
      </c>
      <c r="D15" t="s" s="20">
        <v>112</v>
      </c>
      <c r="E15" t="s" s="20">
        <v>113</v>
      </c>
      <c r="F15" t="s" s="20">
        <v>114</v>
      </c>
      <c r="G15" t="s" s="20">
        <v>124</v>
      </c>
      <c r="H15" t="s" s="20">
        <v>108</v>
      </c>
      <c r="I15" t="s" s="20">
        <v>111</v>
      </c>
      <c r="J15" t="s" s="20">
        <v>111</v>
      </c>
      <c r="K15" s="23">
        <f>IF($A$15="","",$A$15&amp;"|"&amp;$B$15&amp;"|"&amp;$C$15)</f>
      </c>
      <c r="L15" s="23">
        <f>COUNTA($E$15:$J$15)</f>
      </c>
      <c r="M15" s="23">
        <f>IF($D$15="","OK",IFERROR(UPPER(INDIRECT("'Famille - "&amp;$D$15&amp;"'!"&amp;ADDRESS(10,(2+IF($A$15="Paire",0,1)*8+(MATCH($B$15,{"Lundi","Mardi","Jeudi","Vendredi"},0)-1)*2+IF($C$15="Matin",0,1))))),"OK"))</f>
      </c>
      <c r="N15" s="23">
        <f>IF($D$15="",0,IFERROR(INDIRECT("'Famille - "&amp;$D$15&amp;"'!"&amp;"$B$5"),0))</f>
      </c>
      <c r="O15" s="23">
        <f>IF($L$15&gt;$N$15,$L$15-$N$15,0)</f>
      </c>
      <c r="P15" s="23">
        <f>","&amp;TEXTJOIN(",",TRUE,$E$15:$J$15)&amp;","</f>
      </c>
    </row>
    <row r="16">
      <c r="A16" t="s" s="21">
        <v>104</v>
      </c>
      <c r="B16" t="s" s="21">
        <v>123</v>
      </c>
      <c r="C16" t="s" s="21">
        <v>121</v>
      </c>
      <c r="D16" t="s" s="20">
        <v>115</v>
      </c>
      <c r="E16" t="s" s="20">
        <v>115</v>
      </c>
      <c r="F16" t="s" s="20">
        <v>109</v>
      </c>
      <c r="G16" t="s" s="20">
        <v>110</v>
      </c>
      <c r="H16" t="s" s="20">
        <v>116</v>
      </c>
      <c r="I16" t="s" s="20">
        <v>111</v>
      </c>
      <c r="J16" t="s" s="20">
        <v>111</v>
      </c>
      <c r="K16" s="23">
        <f>IF($A$16="","",$A$16&amp;"|"&amp;$B$16&amp;"|"&amp;$C$16)</f>
      </c>
      <c r="L16" s="23">
        <f>COUNTA($E$16:$J$16)</f>
      </c>
      <c r="M16" s="23">
        <f>IF($D$16="","OK",IFERROR(UPPER(INDIRECT("'Famille - "&amp;$D$16&amp;"'!"&amp;ADDRESS(10,(2+IF($A$16="Paire",0,1)*8+(MATCH($B$16,{"Lundi","Mardi","Jeudi","Vendredi"},0)-1)*2+IF($C$16="Matin",0,1))))),"OK"))</f>
      </c>
      <c r="N16" s="23">
        <f>IF($D$16="",0,IFERROR(INDIRECT("'Famille - "&amp;$D$16&amp;"'!"&amp;"$B$5"),0))</f>
      </c>
      <c r="O16" s="23">
        <f>IF($L$16&gt;$N$16,$L$16-$N$16,0)</f>
      </c>
      <c r="P16" s="23">
        <f>","&amp;TEXTJOIN(",",TRUE,$E$16:$J$16)&amp;","</f>
      </c>
    </row>
    <row r="17">
      <c r="A17" t="s" s="21">
        <v>104</v>
      </c>
      <c r="B17" t="s" s="21">
        <v>123</v>
      </c>
      <c r="C17" t="s" s="21">
        <v>121</v>
      </c>
      <c r="D17" t="s" s="20">
        <v>119</v>
      </c>
      <c r="E17" t="s" s="20">
        <v>119</v>
      </c>
      <c r="F17" t="s" s="20">
        <v>118</v>
      </c>
      <c r="G17" t="s" s="20">
        <v>120</v>
      </c>
      <c r="H17" t="s" s="20">
        <v>117</v>
      </c>
      <c r="I17" t="s" s="20">
        <v>111</v>
      </c>
      <c r="J17" t="s" s="20">
        <v>111</v>
      </c>
      <c r="K17" s="23">
        <f>IF($A$17="","",$A$17&amp;"|"&amp;$B$17&amp;"|"&amp;$C$17)</f>
      </c>
      <c r="L17" s="23">
        <f>COUNTA($E$17:$J$17)</f>
      </c>
      <c r="M17" s="23">
        <f>IF($D$17="","OK",IFERROR(UPPER(INDIRECT("'Famille - "&amp;$D$17&amp;"'!"&amp;ADDRESS(10,(2+IF($A$17="Paire",0,1)*8+(MATCH($B$17,{"Lundi","Mardi","Jeudi","Vendredi"},0)-1)*2+IF($C$17="Matin",0,1))))),"OK"))</f>
      </c>
      <c r="N17" s="23">
        <f>IF($D$17="",0,IFERROR(INDIRECT("'Famille - "&amp;$D$17&amp;"'!"&amp;"$B$5"),0))</f>
      </c>
      <c r="O17" s="23">
        <f>IF($L$17&gt;$N$17,$L$17-$N$17,0)</f>
      </c>
      <c r="P17" s="23">
        <f>","&amp;TEXTJOIN(",",TRUE,$E$17:$J$17)&amp;","</f>
      </c>
    </row>
    <row r="18">
      <c r="A18" t="s" s="21">
        <v>104</v>
      </c>
      <c r="B18" t="s" s="21">
        <v>125</v>
      </c>
      <c r="C18" t="s" s="21">
        <v>106</v>
      </c>
      <c r="D18" t="s" s="20">
        <v>109</v>
      </c>
      <c r="E18" t="s" s="20">
        <v>109</v>
      </c>
      <c r="F18" t="s" s="20">
        <v>124</v>
      </c>
      <c r="G18" t="s" s="20">
        <v>110</v>
      </c>
      <c r="H18" t="s" s="20">
        <v>111</v>
      </c>
      <c r="I18" t="s" s="20">
        <v>111</v>
      </c>
      <c r="J18" t="s" s="20">
        <v>111</v>
      </c>
      <c r="K18" s="23">
        <f>IF($A$18="","",$A$18&amp;"|"&amp;$B$18&amp;"|"&amp;$C$18)</f>
      </c>
      <c r="L18" s="23">
        <f>COUNTA($E$18:$J$18)</f>
      </c>
      <c r="M18" s="23">
        <f>IF($D$18="","OK",IFERROR(UPPER(INDIRECT("'Famille - "&amp;$D$18&amp;"'!"&amp;ADDRESS(10,(2+IF($A$18="Paire",0,1)*8+(MATCH($B$18,{"Lundi","Mardi","Jeudi","Vendredi"},0)-1)*2+IF($C$18="Matin",0,1))))),"OK"))</f>
      </c>
      <c r="N18" s="23">
        <f>IF($D$18="",0,IFERROR(INDIRECT("'Famille - "&amp;$D$18&amp;"'!"&amp;"$B$5"),0))</f>
      </c>
      <c r="O18" s="23">
        <f>IF($L$18&gt;$N$18,$L$18-$N$18,0)</f>
      </c>
      <c r="P18" s="23">
        <f>","&amp;TEXTJOIN(",",TRUE,$E$18:$J$18)&amp;","</f>
      </c>
    </row>
    <row r="19">
      <c r="A19" t="s" s="21">
        <v>104</v>
      </c>
      <c r="B19" t="s" s="21">
        <v>125</v>
      </c>
      <c r="C19" t="s" s="21">
        <v>106</v>
      </c>
      <c r="D19" t="s" s="20">
        <v>122</v>
      </c>
      <c r="E19" t="s" s="20">
        <v>116</v>
      </c>
      <c r="F19" t="s" s="20">
        <v>118</v>
      </c>
      <c r="G19" t="s" s="20">
        <v>115</v>
      </c>
      <c r="H19" t="s" s="20">
        <v>119</v>
      </c>
      <c r="I19" t="s" s="20">
        <v>120</v>
      </c>
      <c r="J19" t="s" s="20">
        <v>117</v>
      </c>
      <c r="K19" s="23">
        <f>IF($A$19="","",$A$19&amp;"|"&amp;$B$19&amp;"|"&amp;$C$19)</f>
      </c>
      <c r="L19" s="23">
        <f>COUNTA($E$19:$J$19)</f>
      </c>
      <c r="M19" s="23">
        <f>IF($D$19="","OK",IFERROR(UPPER(INDIRECT("'Famille - "&amp;$D$19&amp;"'!"&amp;ADDRESS(10,(2+IF($A$19="Paire",0,1)*8+(MATCH($B$19,{"Lundi","Mardi","Jeudi","Vendredi"},0)-1)*2+IF($C$19="Matin",0,1))))),"OK"))</f>
      </c>
      <c r="N19" s="23">
        <f>IF($D$19="",0,IFERROR(INDIRECT("'Famille - "&amp;$D$19&amp;"'!"&amp;"$B$5"),0))</f>
      </c>
      <c r="O19" s="23">
        <f>IF($L$19&gt;$N$19,$L$19-$N$19,0)</f>
      </c>
      <c r="P19" s="23">
        <f>","&amp;TEXTJOIN(",",TRUE,$E$19:$J$19)&amp;","</f>
      </c>
    </row>
    <row r="20">
      <c r="A20" t="s" s="21">
        <v>104</v>
      </c>
      <c r="B20" t="s" s="21">
        <v>125</v>
      </c>
      <c r="C20" t="s" s="21">
        <v>106</v>
      </c>
      <c r="D20" t="s" s="20">
        <v>108</v>
      </c>
      <c r="E20" t="s" s="20">
        <v>108</v>
      </c>
      <c r="F20" t="s" s="20">
        <v>113</v>
      </c>
      <c r="G20" t="s" s="20">
        <v>114</v>
      </c>
      <c r="H20" t="s" s="20">
        <v>111</v>
      </c>
      <c r="I20" t="s" s="20">
        <v>111</v>
      </c>
      <c r="J20" t="s" s="20">
        <v>111</v>
      </c>
      <c r="K20" s="23">
        <f>IF($A$20="","",$A$20&amp;"|"&amp;$B$20&amp;"|"&amp;$C$20)</f>
      </c>
      <c r="L20" s="23">
        <f>COUNTA($E$20:$J$20)</f>
      </c>
      <c r="M20" s="23">
        <f>IF($D$20="","OK",IFERROR(UPPER(INDIRECT("'Famille - "&amp;$D$20&amp;"'!"&amp;ADDRESS(10,(2+IF($A$20="Paire",0,1)*8+(MATCH($B$20,{"Lundi","Mardi","Jeudi","Vendredi"},0)-1)*2+IF($C$20="Matin",0,1))))),"OK"))</f>
      </c>
      <c r="N20" s="23">
        <f>IF($D$20="",0,IFERROR(INDIRECT("'Famille - "&amp;$D$20&amp;"'!"&amp;"$B$5"),0))</f>
      </c>
      <c r="O20" s="23">
        <f>IF($L$20&gt;$N$20,$L$20-$N$20,0)</f>
      </c>
      <c r="P20" s="23">
        <f>","&amp;TEXTJOIN(",",TRUE,$E$20:$J$20)&amp;","</f>
      </c>
    </row>
    <row r="21">
      <c r="A21" t="s" s="21">
        <v>104</v>
      </c>
      <c r="B21" t="s" s="21">
        <v>125</v>
      </c>
      <c r="C21" t="s" s="21">
        <v>121</v>
      </c>
      <c r="D21" t="s" s="20">
        <v>108</v>
      </c>
      <c r="E21" t="s" s="20">
        <v>108</v>
      </c>
      <c r="F21" t="s" s="20">
        <v>124</v>
      </c>
      <c r="G21" t="s" s="20">
        <v>109</v>
      </c>
      <c r="H21" t="s" s="20">
        <v>110</v>
      </c>
      <c r="I21" t="s" s="20">
        <v>111</v>
      </c>
      <c r="J21" t="s" s="20">
        <v>111</v>
      </c>
      <c r="K21" s="23">
        <f>IF($A$21="","",$A$21&amp;"|"&amp;$B$21&amp;"|"&amp;$C$21)</f>
      </c>
      <c r="L21" s="23">
        <f>COUNTA($E$21:$J$21)</f>
      </c>
      <c r="M21" s="23">
        <f>IF($D$21="","OK",IFERROR(UPPER(INDIRECT("'Famille - "&amp;$D$21&amp;"'!"&amp;ADDRESS(10,(2+IF($A$21="Paire",0,1)*8+(MATCH($B$21,{"Lundi","Mardi","Jeudi","Vendredi"},0)-1)*2+IF($C$21="Matin",0,1))))),"OK"))</f>
      </c>
      <c r="N21" s="23">
        <f>IF($D$21="",0,IFERROR(INDIRECT("'Famille - "&amp;$D$21&amp;"'!"&amp;"$B$5"),0))</f>
      </c>
      <c r="O21" s="23">
        <f>IF($L$21&gt;$N$21,$L$21-$N$21,0)</f>
      </c>
      <c r="P21" s="23">
        <f>","&amp;TEXTJOIN(",",TRUE,$E$21:$J$21)&amp;","</f>
      </c>
    </row>
    <row r="22">
      <c r="A22" t="s" s="21">
        <v>104</v>
      </c>
      <c r="B22" t="s" s="21">
        <v>125</v>
      </c>
      <c r="C22" t="s" s="21">
        <v>121</v>
      </c>
      <c r="D22" t="s" s="20">
        <v>119</v>
      </c>
      <c r="E22" t="s" s="20">
        <v>119</v>
      </c>
      <c r="F22" t="s" s="20">
        <v>115</v>
      </c>
      <c r="G22" t="s" s="20">
        <v>111</v>
      </c>
      <c r="H22" t="s" s="20">
        <v>111</v>
      </c>
      <c r="I22" t="s" s="20">
        <v>111</v>
      </c>
      <c r="J22" t="s" s="20">
        <v>111</v>
      </c>
      <c r="K22" s="23">
        <f>IF($A$22="","",$A$22&amp;"|"&amp;$B$22&amp;"|"&amp;$C$22)</f>
      </c>
      <c r="L22" s="23">
        <f>COUNTA($E$22:$J$22)</f>
      </c>
      <c r="M22" s="23">
        <f>IF($D$22="","OK",IFERROR(UPPER(INDIRECT("'Famille - "&amp;$D$22&amp;"'!"&amp;ADDRESS(10,(2+IF($A$22="Paire",0,1)*8+(MATCH($B$22,{"Lundi","Mardi","Jeudi","Vendredi"},0)-1)*2+IF($C$22="Matin",0,1))))),"OK"))</f>
      </c>
      <c r="N22" s="23">
        <f>IF($D$22="",0,IFERROR(INDIRECT("'Famille - "&amp;$D$22&amp;"'!"&amp;"$B$5"),0))</f>
      </c>
      <c r="O22" s="23">
        <f>IF($L$22&gt;$N$22,$L$22-$N$22,0)</f>
      </c>
      <c r="P22" s="23">
        <f>","&amp;TEXTJOIN(",",TRUE,$E$22:$J$22)&amp;","</f>
      </c>
    </row>
    <row r="23">
      <c r="A23" t="s" s="21">
        <v>104</v>
      </c>
      <c r="B23" t="s" s="21">
        <v>125</v>
      </c>
      <c r="C23" t="s" s="21">
        <v>121</v>
      </c>
      <c r="D23" t="s" s="20">
        <v>122</v>
      </c>
      <c r="E23" t="s" s="20">
        <v>116</v>
      </c>
      <c r="F23" t="s" s="20">
        <v>118</v>
      </c>
      <c r="G23" t="s" s="20">
        <v>120</v>
      </c>
      <c r="H23" t="s" s="20">
        <v>117</v>
      </c>
      <c r="I23" t="s" s="20">
        <v>113</v>
      </c>
      <c r="J23" t="s" s="20">
        <v>114</v>
      </c>
      <c r="K23" s="23">
        <f>IF($A$23="","",$A$23&amp;"|"&amp;$B$23&amp;"|"&amp;$C$23)</f>
      </c>
      <c r="L23" s="23">
        <f>COUNTA($E$23:$J$23)</f>
      </c>
      <c r="M23" s="23">
        <f>IF($D$23="","OK",IFERROR(UPPER(INDIRECT("'Famille - "&amp;$D$23&amp;"'!"&amp;ADDRESS(10,(2+IF($A$23="Paire",0,1)*8+(MATCH($B$23,{"Lundi","Mardi","Jeudi","Vendredi"},0)-1)*2+IF($C$23="Matin",0,1))))),"OK"))</f>
      </c>
      <c r="N23" s="23">
        <f>IF($D$23="",0,IFERROR(INDIRECT("'Famille - "&amp;$D$23&amp;"'!"&amp;"$B$5"),0))</f>
      </c>
      <c r="O23" s="23">
        <f>IF($L$23&gt;$N$23,$L$23-$N$23,0)</f>
      </c>
      <c r="P23" s="23">
        <f>","&amp;TEXTJOIN(",",TRUE,$E$23:$J$23)&amp;","</f>
      </c>
    </row>
    <row r="24">
      <c r="A24" t="s" s="21">
        <v>104</v>
      </c>
      <c r="B24" t="s" s="21">
        <v>126</v>
      </c>
      <c r="C24" t="s" s="21">
        <v>106</v>
      </c>
      <c r="D24" t="s" s="20">
        <v>115</v>
      </c>
      <c r="E24" t="s" s="20">
        <v>115</v>
      </c>
      <c r="F24" t="s" s="20">
        <v>124</v>
      </c>
      <c r="G24" t="s" s="20">
        <v>108</v>
      </c>
      <c r="H24" t="s" s="20">
        <v>111</v>
      </c>
      <c r="I24" t="s" s="20">
        <v>111</v>
      </c>
      <c r="J24" t="s" s="20">
        <v>111</v>
      </c>
      <c r="K24" s="23">
        <f>IF($A$24="","",$A$24&amp;"|"&amp;$B$24&amp;"|"&amp;$C$24)</f>
      </c>
      <c r="L24" s="23">
        <f>COUNTA($E$24:$J$24)</f>
      </c>
      <c r="M24" s="23">
        <f>IF($D$24="","OK",IFERROR(UPPER(INDIRECT("'Famille - "&amp;$D$24&amp;"'!"&amp;ADDRESS(10,(2+IF($A$24="Paire",0,1)*8+(MATCH($B$24,{"Lundi","Mardi","Jeudi","Vendredi"},0)-1)*2+IF($C$24="Matin",0,1))))),"OK"))</f>
      </c>
      <c r="N24" s="23">
        <f>IF($D$24="",0,IFERROR(INDIRECT("'Famille - "&amp;$D$24&amp;"'!"&amp;"$B$5"),0))</f>
      </c>
      <c r="O24" s="23">
        <f>IF($L$24&gt;$N$24,$L$24-$N$24,0)</f>
      </c>
      <c r="P24" s="23">
        <f>","&amp;TEXTJOIN(",",TRUE,$E$24:$J$24)&amp;","</f>
      </c>
    </row>
    <row r="25">
      <c r="A25" t="s" s="21">
        <v>104</v>
      </c>
      <c r="B25" t="s" s="21">
        <v>126</v>
      </c>
      <c r="C25" t="s" s="21">
        <v>106</v>
      </c>
      <c r="D25" t="s" s="20">
        <v>109</v>
      </c>
      <c r="E25" t="s" s="20">
        <v>109</v>
      </c>
      <c r="F25" t="s" s="20">
        <v>111</v>
      </c>
      <c r="G25" t="s" s="20">
        <v>111</v>
      </c>
      <c r="H25" t="s" s="20">
        <v>111</v>
      </c>
      <c r="I25" t="s" s="20">
        <v>111</v>
      </c>
      <c r="J25" t="s" s="20">
        <v>111</v>
      </c>
      <c r="K25" s="23">
        <f>IF($A$25="","",$A$25&amp;"|"&amp;$B$25&amp;"|"&amp;$C$25)</f>
      </c>
      <c r="L25" s="23">
        <f>COUNTA($E$25:$J$25)</f>
      </c>
      <c r="M25" s="23">
        <f>IF($D$25="","OK",IFERROR(UPPER(INDIRECT("'Famille - "&amp;$D$25&amp;"'!"&amp;ADDRESS(10,(2+IF($A$25="Paire",0,1)*8+(MATCH($B$25,{"Lundi","Mardi","Jeudi","Vendredi"},0)-1)*2+IF($C$25="Matin",0,1))))),"OK"))</f>
      </c>
      <c r="N25" s="23">
        <f>IF($D$25="",0,IFERROR(INDIRECT("'Famille - "&amp;$D$25&amp;"'!"&amp;"$B$5"),0))</f>
      </c>
      <c r="O25" s="23">
        <f>IF($L$25&gt;$N$25,$L$25-$N$25,0)</f>
      </c>
      <c r="P25" s="23">
        <f>","&amp;TEXTJOIN(",",TRUE,$E$25:$J$25)&amp;","</f>
      </c>
    </row>
    <row r="26">
      <c r="A26" t="s" s="21">
        <v>104</v>
      </c>
      <c r="B26" t="s" s="21">
        <v>126</v>
      </c>
      <c r="C26" t="s" s="21">
        <v>106</v>
      </c>
      <c r="D26" t="s" s="20">
        <v>122</v>
      </c>
      <c r="E26" t="s" s="20">
        <v>116</v>
      </c>
      <c r="F26" t="s" s="20">
        <v>118</v>
      </c>
      <c r="G26" t="s" s="20">
        <v>119</v>
      </c>
      <c r="H26" t="s" s="20">
        <v>120</v>
      </c>
      <c r="I26" t="s" s="20">
        <v>117</v>
      </c>
      <c r="J26" t="s" s="20">
        <v>113</v>
      </c>
      <c r="K26" s="23">
        <f>IF($A$26="","",$A$26&amp;"|"&amp;$B$26&amp;"|"&amp;$C$26)</f>
      </c>
      <c r="L26" s="23">
        <f>COUNTA($E$26:$J$26)</f>
      </c>
      <c r="M26" s="23">
        <f>IF($D$26="","OK",IFERROR(UPPER(INDIRECT("'Famille - "&amp;$D$26&amp;"'!"&amp;ADDRESS(10,(2+IF($A$26="Paire",0,1)*8+(MATCH($B$26,{"Lundi","Mardi","Jeudi","Vendredi"},0)-1)*2+IF($C$26="Matin",0,1))))),"OK"))</f>
      </c>
      <c r="N26" s="23">
        <f>IF($D$26="",0,IFERROR(INDIRECT("'Famille - "&amp;$D$26&amp;"'!"&amp;"$B$5"),0))</f>
      </c>
      <c r="O26" s="23">
        <f>IF($L$26&gt;$N$26,$L$26-$N$26,0)</f>
      </c>
      <c r="P26" s="23">
        <f>","&amp;TEXTJOIN(",",TRUE,$E$26:$J$26)&amp;","</f>
      </c>
    </row>
    <row r="27">
      <c r="A27" t="s" s="21">
        <v>104</v>
      </c>
      <c r="B27" t="s" s="21">
        <v>126</v>
      </c>
      <c r="C27" t="s" s="21">
        <v>106</v>
      </c>
      <c r="D27" t="s" s="20">
        <v>117</v>
      </c>
      <c r="E27" t="s" s="20">
        <v>110</v>
      </c>
      <c r="F27" t="s" s="20">
        <v>114</v>
      </c>
      <c r="G27" t="s" s="20">
        <v>111</v>
      </c>
      <c r="H27" t="s" s="20">
        <v>111</v>
      </c>
      <c r="I27" t="s" s="20">
        <v>111</v>
      </c>
      <c r="J27" t="s" s="20">
        <v>111</v>
      </c>
      <c r="K27" s="23">
        <f>IF($A$27="","",$A$27&amp;"|"&amp;$B$27&amp;"|"&amp;$C$27)</f>
      </c>
      <c r="L27" s="23">
        <f>COUNTA($E$27:$J$27)</f>
      </c>
      <c r="M27" s="23">
        <f>IF($D$27="","OK",IFERROR(UPPER(INDIRECT("'Famille - "&amp;$D$27&amp;"'!"&amp;ADDRESS(10,(2+IF($A$27="Paire",0,1)*8+(MATCH($B$27,{"Lundi","Mardi","Jeudi","Vendredi"},0)-1)*2+IF($C$27="Matin",0,1))))),"OK"))</f>
      </c>
      <c r="N27" s="23">
        <f>IF($D$27="",0,IFERROR(INDIRECT("'Famille - "&amp;$D$27&amp;"'!"&amp;"$B$5"),0))</f>
      </c>
      <c r="O27" s="23">
        <f>IF($L$27&gt;$N$27,$L$27-$N$27,0)</f>
      </c>
      <c r="P27" s="23">
        <f>","&amp;TEXTJOIN(",",TRUE,$E$27:$J$27)&amp;","</f>
      </c>
    </row>
    <row r="28">
      <c r="A28" t="s" s="21">
        <v>104</v>
      </c>
      <c r="B28" t="s" s="21">
        <v>126</v>
      </c>
      <c r="C28" t="s" s="21">
        <v>121</v>
      </c>
      <c r="D28" t="s" s="20">
        <v>120</v>
      </c>
      <c r="E28" t="s" s="20">
        <v>120</v>
      </c>
      <c r="F28" t="s" s="20">
        <v>124</v>
      </c>
      <c r="G28" t="s" s="20">
        <v>108</v>
      </c>
      <c r="H28" t="s" s="20">
        <v>111</v>
      </c>
      <c r="I28" t="s" s="20">
        <v>111</v>
      </c>
      <c r="J28" t="s" s="20">
        <v>111</v>
      </c>
      <c r="K28" s="23">
        <f>IF($A$28="","",$A$28&amp;"|"&amp;$B$28&amp;"|"&amp;$C$28)</f>
      </c>
      <c r="L28" s="23">
        <f>COUNTA($E$28:$J$28)</f>
      </c>
      <c r="M28" s="23">
        <f>IF($D$28="","OK",IFERROR(UPPER(INDIRECT("'Famille - "&amp;$D$28&amp;"'!"&amp;ADDRESS(10,(2+IF($A$28="Paire",0,1)*8+(MATCH($B$28,{"Lundi","Mardi","Jeudi","Vendredi"},0)-1)*2+IF($C$28="Matin",0,1))))),"OK"))</f>
      </c>
      <c r="N28" s="23">
        <f>IF($D$28="",0,IFERROR(INDIRECT("'Famille - "&amp;$D$28&amp;"'!"&amp;"$B$5"),0))</f>
      </c>
      <c r="O28" s="23">
        <f>IF($L$28&gt;$N$28,$L$28-$N$28,0)</f>
      </c>
      <c r="P28" s="23">
        <f>","&amp;TEXTJOIN(",",TRUE,$E$28:$J$28)&amp;","</f>
      </c>
    </row>
    <row r="29">
      <c r="A29" t="s" s="21">
        <v>104</v>
      </c>
      <c r="B29" t="s" s="21">
        <v>126</v>
      </c>
      <c r="C29" t="s" s="21">
        <v>121</v>
      </c>
      <c r="D29" t="s" s="20">
        <v>112</v>
      </c>
      <c r="E29" t="s" s="20">
        <v>113</v>
      </c>
      <c r="F29" t="s" s="20">
        <v>114</v>
      </c>
      <c r="G29" t="s" s="20">
        <v>110</v>
      </c>
      <c r="H29" t="s" s="20">
        <v>111</v>
      </c>
      <c r="I29" t="s" s="20">
        <v>111</v>
      </c>
      <c r="J29" t="s" s="20">
        <v>111</v>
      </c>
      <c r="K29" s="23">
        <f>IF($A$29="","",$A$29&amp;"|"&amp;$B$29&amp;"|"&amp;$C$29)</f>
      </c>
      <c r="L29" s="23">
        <f>COUNTA($E$29:$J$29)</f>
      </c>
      <c r="M29" s="23">
        <f>IF($D$29="","OK",IFERROR(UPPER(INDIRECT("'Famille - "&amp;$D$29&amp;"'!"&amp;ADDRESS(10,(2+IF($A$29="Paire",0,1)*8+(MATCH($B$29,{"Lundi","Mardi","Jeudi","Vendredi"},0)-1)*2+IF($C$29="Matin",0,1))))),"OK"))</f>
      </c>
      <c r="N29" s="23">
        <f>IF($D$29="",0,IFERROR(INDIRECT("'Famille - "&amp;$D$29&amp;"'!"&amp;"$B$5"),0))</f>
      </c>
      <c r="O29" s="23">
        <f>IF($L$29&gt;$N$29,$L$29-$N$29,0)</f>
      </c>
      <c r="P29" s="23">
        <f>","&amp;TEXTJOIN(",",TRUE,$E$29:$J$29)&amp;","</f>
      </c>
    </row>
    <row r="30">
      <c r="A30" t="s" s="21">
        <v>104</v>
      </c>
      <c r="B30" t="s" s="21">
        <v>126</v>
      </c>
      <c r="C30" t="s" s="21">
        <v>121</v>
      </c>
      <c r="D30" t="s" s="20">
        <v>115</v>
      </c>
      <c r="E30" t="s" s="20">
        <v>115</v>
      </c>
      <c r="F30" t="s" s="20">
        <v>116</v>
      </c>
      <c r="G30" t="s" s="20">
        <v>118</v>
      </c>
      <c r="H30" t="s" s="20">
        <v>119</v>
      </c>
      <c r="I30" t="s" s="20">
        <v>111</v>
      </c>
      <c r="J30" t="s" s="20">
        <v>111</v>
      </c>
      <c r="K30" s="23">
        <f>IF($A$30="","",$A$30&amp;"|"&amp;$B$30&amp;"|"&amp;$C$30)</f>
      </c>
      <c r="L30" s="23">
        <f>COUNTA($E$30:$J$30)</f>
      </c>
      <c r="M30" s="23">
        <f>IF($D$30="","OK",IFERROR(UPPER(INDIRECT("'Famille - "&amp;$D$30&amp;"'!"&amp;ADDRESS(10,(2+IF($A$30="Paire",0,1)*8+(MATCH($B$30,{"Lundi","Mardi","Jeudi","Vendredi"},0)-1)*2+IF($C$30="Matin",0,1))))),"OK"))</f>
      </c>
      <c r="N30" s="23">
        <f>IF($D$30="",0,IFERROR(INDIRECT("'Famille - "&amp;$D$30&amp;"'!"&amp;"$B$5"),0))</f>
      </c>
      <c r="O30" s="23">
        <f>IF($L$30&gt;$N$30,$L$30-$N$30,0)</f>
      </c>
      <c r="P30" s="23">
        <f>","&amp;TEXTJOIN(",",TRUE,$E$30:$J$30)&amp;","</f>
      </c>
    </row>
    <row r="31">
      <c r="A31" t="s" s="21">
        <v>104</v>
      </c>
      <c r="B31" t="s" s="21">
        <v>126</v>
      </c>
      <c r="C31" t="s" s="21">
        <v>121</v>
      </c>
      <c r="D31" t="s" s="20">
        <v>109</v>
      </c>
      <c r="E31" t="s" s="20">
        <v>109</v>
      </c>
      <c r="F31" t="s" s="20">
        <v>117</v>
      </c>
      <c r="G31" t="s" s="20">
        <v>111</v>
      </c>
      <c r="H31" t="s" s="20">
        <v>111</v>
      </c>
      <c r="I31" t="s" s="20">
        <v>111</v>
      </c>
      <c r="J31" t="s" s="20">
        <v>111</v>
      </c>
      <c r="K31" s="23">
        <f>IF($A$31="","",$A$31&amp;"|"&amp;$B$31&amp;"|"&amp;$C$31)</f>
      </c>
      <c r="L31" s="23">
        <f>COUNTA($E$31:$J$31)</f>
      </c>
      <c r="M31" s="23">
        <f>IF($D$31="","OK",IFERROR(UPPER(INDIRECT("'Famille - "&amp;$D$31&amp;"'!"&amp;ADDRESS(10,(2+IF($A$31="Paire",0,1)*8+(MATCH($B$31,{"Lundi","Mardi","Jeudi","Vendredi"},0)-1)*2+IF($C$31="Matin",0,1))))),"OK"))</f>
      </c>
      <c r="N31" s="23">
        <f>IF($D$31="",0,IFERROR(INDIRECT("'Famille - "&amp;$D$31&amp;"'!"&amp;"$B$5"),0))</f>
      </c>
      <c r="O31" s="23">
        <f>IF($L$31&gt;$N$31,$L$31-$N$31,0)</f>
      </c>
      <c r="P31" s="23">
        <f>","&amp;TEXTJOIN(",",TRUE,$E$31:$J$31)&amp;","</f>
      </c>
    </row>
    <row r="32">
      <c r="A32" t="s" s="21">
        <v>127</v>
      </c>
      <c r="B32" t="s" s="21">
        <v>105</v>
      </c>
      <c r="C32" t="s" s="21">
        <v>106</v>
      </c>
      <c r="D32" t="s" s="20">
        <v>120</v>
      </c>
      <c r="E32" t="s" s="20">
        <v>120</v>
      </c>
      <c r="F32" t="s" s="20">
        <v>124</v>
      </c>
      <c r="G32" t="s" s="20">
        <v>108</v>
      </c>
      <c r="H32" t="s" s="20">
        <v>109</v>
      </c>
      <c r="I32" t="s" s="20">
        <v>111</v>
      </c>
      <c r="J32" t="s" s="20">
        <v>111</v>
      </c>
      <c r="K32" s="23">
        <f>IF($A$32="","",$A$32&amp;"|"&amp;$B$32&amp;"|"&amp;$C$32)</f>
      </c>
      <c r="L32" s="23">
        <f>COUNTA($E$32:$J$32)</f>
      </c>
      <c r="M32" s="23">
        <f>IF($D$32="","OK",IFERROR(UPPER(INDIRECT("'Famille - "&amp;$D$32&amp;"'!"&amp;ADDRESS(10,(2+IF($A$32="Paire",0,1)*8+(MATCH($B$32,{"Lundi","Mardi","Jeudi","Vendredi"},0)-1)*2+IF($C$32="Matin",0,1))))),"OK"))</f>
      </c>
      <c r="N32" s="23">
        <f>IF($D$32="",0,IFERROR(INDIRECT("'Famille - "&amp;$D$32&amp;"'!"&amp;"$B$5"),0))</f>
      </c>
      <c r="O32" s="23">
        <f>IF($L$32&gt;$N$32,$L$32-$N$32,0)</f>
      </c>
      <c r="P32" s="23">
        <f>","&amp;TEXTJOIN(",",TRUE,$E$32:$J$32)&amp;","</f>
      </c>
    </row>
    <row r="33">
      <c r="A33" t="s" s="21">
        <v>127</v>
      </c>
      <c r="B33" t="s" s="21">
        <v>105</v>
      </c>
      <c r="C33" t="s" s="21">
        <v>106</v>
      </c>
      <c r="D33" t="s" s="20">
        <v>110</v>
      </c>
      <c r="E33" t="s" s="20">
        <v>110</v>
      </c>
      <c r="F33" t="s" s="20">
        <v>115</v>
      </c>
      <c r="G33" t="s" s="20">
        <v>111</v>
      </c>
      <c r="H33" t="s" s="20">
        <v>111</v>
      </c>
      <c r="I33" t="s" s="20">
        <v>111</v>
      </c>
      <c r="J33" t="s" s="20">
        <v>111</v>
      </c>
      <c r="K33" s="23">
        <f>IF($A$33="","",$A$33&amp;"|"&amp;$B$33&amp;"|"&amp;$C$33)</f>
      </c>
      <c r="L33" s="23">
        <f>COUNTA($E$33:$J$33)</f>
      </c>
      <c r="M33" s="23">
        <f>IF($D$33="","OK",IFERROR(UPPER(INDIRECT("'Famille - "&amp;$D$33&amp;"'!"&amp;ADDRESS(10,(2+IF($A$33="Paire",0,1)*8+(MATCH($B$33,{"Lundi","Mardi","Jeudi","Vendredi"},0)-1)*2+IF($C$33="Matin",0,1))))),"OK"))</f>
      </c>
      <c r="N33" s="23">
        <f>IF($D$33="",0,IFERROR(INDIRECT("'Famille - "&amp;$D$33&amp;"'!"&amp;"$B$5"),0))</f>
      </c>
      <c r="O33" s="23">
        <f>IF($L$33&gt;$N$33,$L$33-$N$33,0)</f>
      </c>
      <c r="P33" s="23">
        <f>","&amp;TEXTJOIN(",",TRUE,$E$33:$J$33)&amp;","</f>
      </c>
    </row>
    <row r="34">
      <c r="A34" t="s" s="21">
        <v>127</v>
      </c>
      <c r="B34" t="s" s="21">
        <v>105</v>
      </c>
      <c r="C34" t="s" s="21">
        <v>106</v>
      </c>
      <c r="D34" t="s" s="20">
        <v>122</v>
      </c>
      <c r="E34" t="s" s="20">
        <v>116</v>
      </c>
      <c r="F34" t="s" s="20">
        <v>118</v>
      </c>
      <c r="G34" t="s" s="20">
        <v>119</v>
      </c>
      <c r="H34" t="s" s="20">
        <v>117</v>
      </c>
      <c r="I34" t="s" s="20">
        <v>113</v>
      </c>
      <c r="J34" t="s" s="20">
        <v>114</v>
      </c>
      <c r="K34" s="23">
        <f>IF($A$34="","",$A$34&amp;"|"&amp;$B$34&amp;"|"&amp;$C$34)</f>
      </c>
      <c r="L34" s="23">
        <f>COUNTA($E$34:$J$34)</f>
      </c>
      <c r="M34" s="23">
        <f>IF($D$34="","OK",IFERROR(UPPER(INDIRECT("'Famille - "&amp;$D$34&amp;"'!"&amp;ADDRESS(10,(2+IF($A$34="Paire",0,1)*8+(MATCH($B$34,{"Lundi","Mardi","Jeudi","Vendredi"},0)-1)*2+IF($C$34="Matin",0,1))))),"OK"))</f>
      </c>
      <c r="N34" s="23">
        <f>IF($D$34="",0,IFERROR(INDIRECT("'Famille - "&amp;$D$34&amp;"'!"&amp;"$B$5"),0))</f>
      </c>
      <c r="O34" s="23">
        <f>IF($L$34&gt;$N$34,$L$34-$N$34,0)</f>
      </c>
      <c r="P34" s="23">
        <f>","&amp;TEXTJOIN(",",TRUE,$E$34:$J$34)&amp;","</f>
      </c>
    </row>
    <row r="35">
      <c r="A35" t="s" s="21">
        <v>127</v>
      </c>
      <c r="B35" t="s" s="21">
        <v>105</v>
      </c>
      <c r="C35" t="s" s="21">
        <v>121</v>
      </c>
      <c r="D35" t="s" s="20">
        <v>124</v>
      </c>
      <c r="E35" t="s" s="20">
        <v>124</v>
      </c>
      <c r="F35" t="s" s="20">
        <v>108</v>
      </c>
      <c r="G35" t="s" s="20">
        <v>109</v>
      </c>
      <c r="H35" t="s" s="20">
        <v>110</v>
      </c>
      <c r="I35" t="s" s="20">
        <v>111</v>
      </c>
      <c r="J35" t="s" s="20">
        <v>111</v>
      </c>
      <c r="K35" s="23">
        <f>IF($A$35="","",$A$35&amp;"|"&amp;$B$35&amp;"|"&amp;$C$35)</f>
      </c>
      <c r="L35" s="23">
        <f>COUNTA($E$35:$J$35)</f>
      </c>
      <c r="M35" s="23">
        <f>IF($D$35="","OK",IFERROR(UPPER(INDIRECT("'Famille - "&amp;$D$35&amp;"'!"&amp;ADDRESS(10,(2+IF($A$35="Paire",0,1)*8+(MATCH($B$35,{"Lundi","Mardi","Jeudi","Vendredi"},0)-1)*2+IF($C$35="Matin",0,1))))),"OK"))</f>
      </c>
      <c r="N35" s="23">
        <f>IF($D$35="",0,IFERROR(INDIRECT("'Famille - "&amp;$D$35&amp;"'!"&amp;"$B$5"),0))</f>
      </c>
      <c r="O35" s="23">
        <f>IF($L$35&gt;$N$35,$L$35-$N$35,0)</f>
      </c>
      <c r="P35" s="23">
        <f>","&amp;TEXTJOIN(",",TRUE,$E$35:$J$35)&amp;","</f>
      </c>
    </row>
    <row r="36">
      <c r="A36" t="s" s="21">
        <v>127</v>
      </c>
      <c r="B36" t="s" s="21">
        <v>105</v>
      </c>
      <c r="C36" t="s" s="21">
        <v>121</v>
      </c>
      <c r="D36" t="s" s="20">
        <v>117</v>
      </c>
      <c r="E36" t="s" s="20">
        <v>117</v>
      </c>
      <c r="F36" t="s" s="20">
        <v>115</v>
      </c>
      <c r="G36" t="s" s="20">
        <v>107</v>
      </c>
      <c r="H36" t="s" s="20">
        <v>116</v>
      </c>
      <c r="I36" t="s" s="20">
        <v>111</v>
      </c>
      <c r="J36" t="s" s="20">
        <v>111</v>
      </c>
      <c r="K36" s="23">
        <f>IF($A$36="","",$A$36&amp;"|"&amp;$B$36&amp;"|"&amp;$C$36)</f>
      </c>
      <c r="L36" s="23">
        <f>COUNTA($E$36:$J$36)</f>
      </c>
      <c r="M36" s="23">
        <f>IF($D$36="","OK",IFERROR(UPPER(INDIRECT("'Famille - "&amp;$D$36&amp;"'!"&amp;ADDRESS(10,(2+IF($A$36="Paire",0,1)*8+(MATCH($B$36,{"Lundi","Mardi","Jeudi","Vendredi"},0)-1)*2+IF($C$36="Matin",0,1))))),"OK"))</f>
      </c>
      <c r="N36" s="23">
        <f>IF($D$36="",0,IFERROR(INDIRECT("'Famille - "&amp;$D$36&amp;"'!"&amp;"$B$5"),0))</f>
      </c>
      <c r="O36" s="23">
        <f>IF($L$36&gt;$N$36,$L$36-$N$36,0)</f>
      </c>
      <c r="P36" s="23">
        <f>","&amp;TEXTJOIN(",",TRUE,$E$36:$J$36)&amp;","</f>
      </c>
    </row>
    <row r="37">
      <c r="A37" t="s" s="21">
        <v>127</v>
      </c>
      <c r="B37" t="s" s="21">
        <v>105</v>
      </c>
      <c r="C37" t="s" s="21">
        <v>121</v>
      </c>
      <c r="D37" t="s" s="20">
        <v>120</v>
      </c>
      <c r="E37" t="s" s="20">
        <v>120</v>
      </c>
      <c r="F37" t="s" s="20">
        <v>118</v>
      </c>
      <c r="G37" t="s" s="20">
        <v>113</v>
      </c>
      <c r="H37" t="s" s="20">
        <v>111</v>
      </c>
      <c r="I37" t="s" s="20">
        <v>111</v>
      </c>
      <c r="J37" t="s" s="20">
        <v>111</v>
      </c>
      <c r="K37" s="23">
        <f>IF($A$37="","",$A$37&amp;"|"&amp;$B$37&amp;"|"&amp;$C$37)</f>
      </c>
      <c r="L37" s="23">
        <f>COUNTA($E$37:$J$37)</f>
      </c>
      <c r="M37" s="23">
        <f>IF($D$37="","OK",IFERROR(UPPER(INDIRECT("'Famille - "&amp;$D$37&amp;"'!"&amp;ADDRESS(10,(2+IF($A$37="Paire",0,1)*8+(MATCH($B$37,{"Lundi","Mardi","Jeudi","Vendredi"},0)-1)*2+IF($C$37="Matin",0,1))))),"OK"))</f>
      </c>
      <c r="N37" s="23">
        <f>IF($D$37="",0,IFERROR(INDIRECT("'Famille - "&amp;$D$37&amp;"'!"&amp;"$B$5"),0))</f>
      </c>
      <c r="O37" s="23">
        <f>IF($L$37&gt;$N$37,$L$37-$N$37,0)</f>
      </c>
      <c r="P37" s="23">
        <f>","&amp;TEXTJOIN(",",TRUE,$E$37:$J$37)&amp;","</f>
      </c>
    </row>
    <row r="38">
      <c r="A38" t="s" s="21">
        <v>127</v>
      </c>
      <c r="B38" t="s" s="21">
        <v>105</v>
      </c>
      <c r="C38" t="s" s="21">
        <v>121</v>
      </c>
      <c r="D38" t="s" s="20">
        <v>119</v>
      </c>
      <c r="E38" t="s" s="20">
        <v>119</v>
      </c>
      <c r="F38" t="s" s="20">
        <v>114</v>
      </c>
      <c r="G38" t="s" s="20">
        <v>111</v>
      </c>
      <c r="H38" t="s" s="20">
        <v>111</v>
      </c>
      <c r="I38" t="s" s="20">
        <v>111</v>
      </c>
      <c r="J38" t="s" s="20">
        <v>111</v>
      </c>
      <c r="K38" s="23">
        <f>IF($A$38="","",$A$38&amp;"|"&amp;$B$38&amp;"|"&amp;$C$38)</f>
      </c>
      <c r="L38" s="23">
        <f>COUNTA($E$38:$J$38)</f>
      </c>
      <c r="M38" s="23">
        <f>IF($D$38="","OK",IFERROR(UPPER(INDIRECT("'Famille - "&amp;$D$38&amp;"'!"&amp;ADDRESS(10,(2+IF($A$38="Paire",0,1)*8+(MATCH($B$38,{"Lundi","Mardi","Jeudi","Vendredi"},0)-1)*2+IF($C$38="Matin",0,1))))),"OK"))</f>
      </c>
      <c r="N38" s="23">
        <f>IF($D$38="",0,IFERROR(INDIRECT("'Famille - "&amp;$D$38&amp;"'!"&amp;"$B$5"),0))</f>
      </c>
      <c r="O38" s="23">
        <f>IF($L$38&gt;$N$38,$L$38-$N$38,0)</f>
      </c>
      <c r="P38" s="23">
        <f>","&amp;TEXTJOIN(",",TRUE,$E$38:$J$38)&amp;","</f>
      </c>
    </row>
    <row r="39">
      <c r="A39" t="s" s="21">
        <v>127</v>
      </c>
      <c r="B39" t="s" s="21">
        <v>123</v>
      </c>
      <c r="C39" t="s" s="21">
        <v>106</v>
      </c>
      <c r="D39" t="s" s="20">
        <v>122</v>
      </c>
      <c r="E39" t="s" s="20">
        <v>116</v>
      </c>
      <c r="F39" t="s" s="20">
        <v>118</v>
      </c>
      <c r="G39" t="s" s="20">
        <v>124</v>
      </c>
      <c r="H39" t="s" s="20">
        <v>109</v>
      </c>
      <c r="I39" t="s" s="20">
        <v>111</v>
      </c>
      <c r="J39" t="s" s="20">
        <v>111</v>
      </c>
      <c r="K39" s="23">
        <f>IF($A$39="","",$A$39&amp;"|"&amp;$B$39&amp;"|"&amp;$C$39)</f>
      </c>
      <c r="L39" s="23">
        <f>COUNTA($E$39:$J$39)</f>
      </c>
      <c r="M39" s="23">
        <f>IF($D$39="","OK",IFERROR(UPPER(INDIRECT("'Famille - "&amp;$D$39&amp;"'!"&amp;ADDRESS(10,(2+IF($A$39="Paire",0,1)*8+(MATCH($B$39,{"Lundi","Mardi","Jeudi","Vendredi"},0)-1)*2+IF($C$39="Matin",0,1))))),"OK"))</f>
      </c>
      <c r="N39" s="23">
        <f>IF($D$39="",0,IFERROR(INDIRECT("'Famille - "&amp;$D$39&amp;"'!"&amp;"$B$5"),0))</f>
      </c>
      <c r="O39" s="23">
        <f>IF($L$39&gt;$N$39,$L$39-$N$39,0)</f>
      </c>
      <c r="P39" s="23">
        <f>","&amp;TEXTJOIN(",",TRUE,$E$39:$J$39)&amp;","</f>
      </c>
    </row>
    <row r="40">
      <c r="A40" t="s" s="21">
        <v>127</v>
      </c>
      <c r="B40" t="s" s="21">
        <v>123</v>
      </c>
      <c r="C40" t="s" s="21">
        <v>106</v>
      </c>
      <c r="D40" t="s" s="20">
        <v>110</v>
      </c>
      <c r="E40" t="s" s="20">
        <v>110</v>
      </c>
      <c r="F40" t="s" s="20">
        <v>115</v>
      </c>
      <c r="G40" t="s" s="20">
        <v>107</v>
      </c>
      <c r="H40" t="s" s="20">
        <v>119</v>
      </c>
      <c r="I40" t="s" s="20">
        <v>111</v>
      </c>
      <c r="J40" t="s" s="20">
        <v>111</v>
      </c>
      <c r="K40" s="23">
        <f>IF($A$40="","",$A$40&amp;"|"&amp;$B$40&amp;"|"&amp;$C$40)</f>
      </c>
      <c r="L40" s="23">
        <f>COUNTA($E$40:$J$40)</f>
      </c>
      <c r="M40" s="23">
        <f>IF($D$40="","OK",IFERROR(UPPER(INDIRECT("'Famille - "&amp;$D$40&amp;"'!"&amp;ADDRESS(10,(2+IF($A$40="Paire",0,1)*8+(MATCH($B$40,{"Lundi","Mardi","Jeudi","Vendredi"},0)-1)*2+IF($C$40="Matin",0,1))))),"OK"))</f>
      </c>
      <c r="N40" s="23">
        <f>IF($D$40="",0,IFERROR(INDIRECT("'Famille - "&amp;$D$40&amp;"'!"&amp;"$B$5"),0))</f>
      </c>
      <c r="O40" s="23">
        <f>IF($L$40&gt;$N$40,$L$40-$N$40,0)</f>
      </c>
      <c r="P40" s="23">
        <f>","&amp;TEXTJOIN(",",TRUE,$E$40:$J$40)&amp;","</f>
      </c>
    </row>
    <row r="41">
      <c r="A41" t="s" s="21">
        <v>127</v>
      </c>
      <c r="B41" t="s" s="21">
        <v>123</v>
      </c>
      <c r="C41" t="s" s="21">
        <v>106</v>
      </c>
      <c r="D41" t="s" s="20">
        <v>108</v>
      </c>
      <c r="E41" t="s" s="20">
        <v>108</v>
      </c>
      <c r="F41" t="s" s="20">
        <v>120</v>
      </c>
      <c r="G41" t="s" s="20">
        <v>117</v>
      </c>
      <c r="H41" t="s" s="20">
        <v>111</v>
      </c>
      <c r="I41" t="s" s="20">
        <v>111</v>
      </c>
      <c r="J41" t="s" s="20">
        <v>111</v>
      </c>
      <c r="K41" s="23">
        <f>IF($A$41="","",$A$41&amp;"|"&amp;$B$41&amp;"|"&amp;$C$41)</f>
      </c>
      <c r="L41" s="23">
        <f>COUNTA($E$41:$J$41)</f>
      </c>
      <c r="M41" s="23">
        <f>IF($D$41="","OK",IFERROR(UPPER(INDIRECT("'Famille - "&amp;$D$41&amp;"'!"&amp;ADDRESS(10,(2+IF($A$41="Paire",0,1)*8+(MATCH($B$41,{"Lundi","Mardi","Jeudi","Vendredi"},0)-1)*2+IF($C$41="Matin",0,1))))),"OK"))</f>
      </c>
      <c r="N41" s="23">
        <f>IF($D$41="",0,IFERROR(INDIRECT("'Famille - "&amp;$D$41&amp;"'!"&amp;"$B$5"),0))</f>
      </c>
      <c r="O41" s="23">
        <f>IF($L$41&gt;$N$41,$L$41-$N$41,0)</f>
      </c>
      <c r="P41" s="23">
        <f>","&amp;TEXTJOIN(",",TRUE,$E$41:$J$41)&amp;","</f>
      </c>
    </row>
    <row r="42">
      <c r="A42" t="s" s="21">
        <v>127</v>
      </c>
      <c r="B42" t="s" s="21">
        <v>123</v>
      </c>
      <c r="C42" t="s" s="21">
        <v>106</v>
      </c>
      <c r="D42" t="s" s="20">
        <v>112</v>
      </c>
      <c r="E42" t="s" s="20">
        <v>113</v>
      </c>
      <c r="F42" t="s" s="20">
        <v>114</v>
      </c>
      <c r="G42" t="s" s="20">
        <v>111</v>
      </c>
      <c r="H42" t="s" s="20">
        <v>111</v>
      </c>
      <c r="I42" t="s" s="20">
        <v>111</v>
      </c>
      <c r="J42" t="s" s="20">
        <v>111</v>
      </c>
      <c r="K42" s="23">
        <f>IF($A$42="","",$A$42&amp;"|"&amp;$B$42&amp;"|"&amp;$C$42)</f>
      </c>
      <c r="L42" s="23">
        <f>COUNTA($E$42:$J$42)</f>
      </c>
      <c r="M42" s="23">
        <f>IF($D$42="","OK",IFERROR(UPPER(INDIRECT("'Famille - "&amp;$D$42&amp;"'!"&amp;ADDRESS(10,(2+IF($A$42="Paire",0,1)*8+(MATCH($B$42,{"Lundi","Mardi","Jeudi","Vendredi"},0)-1)*2+IF($C$42="Matin",0,1))))),"OK"))</f>
      </c>
      <c r="N42" s="23">
        <f>IF($D$42="",0,IFERROR(INDIRECT("'Famille - "&amp;$D$42&amp;"'!"&amp;"$B$5"),0))</f>
      </c>
      <c r="O42" s="23">
        <f>IF($L$42&gt;$N$42,$L$42-$N$42,0)</f>
      </c>
      <c r="P42" s="23">
        <f>","&amp;TEXTJOIN(",",TRUE,$E$42:$J$42)&amp;","</f>
      </c>
    </row>
    <row r="43">
      <c r="A43" t="s" s="21">
        <v>127</v>
      </c>
      <c r="B43" t="s" s="21">
        <v>123</v>
      </c>
      <c r="C43" t="s" s="21">
        <v>121</v>
      </c>
      <c r="D43" t="s" s="20">
        <v>122</v>
      </c>
      <c r="E43" t="s" s="20">
        <v>116</v>
      </c>
      <c r="F43" t="s" s="20">
        <v>118</v>
      </c>
      <c r="G43" t="s" s="20">
        <v>108</v>
      </c>
      <c r="H43" t="s" s="20">
        <v>110</v>
      </c>
      <c r="I43" t="s" s="20">
        <v>115</v>
      </c>
      <c r="J43" t="s" s="20">
        <v>111</v>
      </c>
      <c r="K43" s="23">
        <f>IF($A$43="","",$A$43&amp;"|"&amp;$B$43&amp;"|"&amp;$C$43)</f>
      </c>
      <c r="L43" s="23">
        <f>COUNTA($E$43:$J$43)</f>
      </c>
      <c r="M43" s="23">
        <f>IF($D$43="","OK",IFERROR(UPPER(INDIRECT("'Famille - "&amp;$D$43&amp;"'!"&amp;ADDRESS(10,(2+IF($A$43="Paire",0,1)*8+(MATCH($B$43,{"Lundi","Mardi","Jeudi","Vendredi"},0)-1)*2+IF($C$43="Matin",0,1))))),"OK"))</f>
      </c>
      <c r="N43" s="23">
        <f>IF($D$43="",0,IFERROR(INDIRECT("'Famille - "&amp;$D$43&amp;"'!"&amp;"$B$5"),0))</f>
      </c>
      <c r="O43" s="23">
        <f>IF($L$43&gt;$N$43,$L$43-$N$43,0)</f>
      </c>
      <c r="P43" s="23">
        <f>","&amp;TEXTJOIN(",",TRUE,$E$43:$J$43)&amp;","</f>
      </c>
    </row>
    <row r="44">
      <c r="A44" t="s" s="21">
        <v>127</v>
      </c>
      <c r="B44" t="s" s="21">
        <v>123</v>
      </c>
      <c r="C44" t="s" s="21">
        <v>121</v>
      </c>
      <c r="D44" t="s" s="20">
        <v>112</v>
      </c>
      <c r="E44" t="s" s="20">
        <v>113</v>
      </c>
      <c r="F44" t="s" s="20">
        <v>114</v>
      </c>
      <c r="G44" t="s" s="20">
        <v>107</v>
      </c>
      <c r="H44" t="s" s="20">
        <v>119</v>
      </c>
      <c r="I44" t="s" s="20">
        <v>111</v>
      </c>
      <c r="J44" t="s" s="20">
        <v>111</v>
      </c>
      <c r="K44" s="23">
        <f>IF($A$44="","",$A$44&amp;"|"&amp;$B$44&amp;"|"&amp;$C$44)</f>
      </c>
      <c r="L44" s="23">
        <f>COUNTA($E$44:$J$44)</f>
      </c>
      <c r="M44" s="23">
        <f>IF($D$44="","OK",IFERROR(UPPER(INDIRECT("'Famille - "&amp;$D$44&amp;"'!"&amp;ADDRESS(10,(2+IF($A$44="Paire",0,1)*8+(MATCH($B$44,{"Lundi","Mardi","Jeudi","Vendredi"},0)-1)*2+IF($C$44="Matin",0,1))))),"OK"))</f>
      </c>
      <c r="N44" s="23">
        <f>IF($D$44="",0,IFERROR(INDIRECT("'Famille - "&amp;$D$44&amp;"'!"&amp;"$B$5"),0))</f>
      </c>
      <c r="O44" s="23">
        <f>IF($L$44&gt;$N$44,$L$44-$N$44,0)</f>
      </c>
      <c r="P44" s="23">
        <f>","&amp;TEXTJOIN(",",TRUE,$E$44:$J$44)&amp;","</f>
      </c>
    </row>
    <row r="45">
      <c r="A45" t="s" s="21">
        <v>127</v>
      </c>
      <c r="B45" t="s" s="21">
        <v>123</v>
      </c>
      <c r="C45" t="s" s="21">
        <v>121</v>
      </c>
      <c r="D45" t="s" s="20">
        <v>109</v>
      </c>
      <c r="E45" t="s" s="20">
        <v>109</v>
      </c>
      <c r="F45" t="s" s="20">
        <v>120</v>
      </c>
      <c r="G45" t="s" s="20">
        <v>117</v>
      </c>
      <c r="H45" t="s" s="20">
        <v>111</v>
      </c>
      <c r="I45" t="s" s="20">
        <v>111</v>
      </c>
      <c r="J45" t="s" s="20">
        <v>111</v>
      </c>
      <c r="K45" s="23">
        <f>IF($A$45="","",$A$45&amp;"|"&amp;$B$45&amp;"|"&amp;$C$45)</f>
      </c>
      <c r="L45" s="23">
        <f>COUNTA($E$45:$J$45)</f>
      </c>
      <c r="M45" s="23">
        <f>IF($D$45="","OK",IFERROR(UPPER(INDIRECT("'Famille - "&amp;$D$45&amp;"'!"&amp;ADDRESS(10,(2+IF($A$45="Paire",0,1)*8+(MATCH($B$45,{"Lundi","Mardi","Jeudi","Vendredi"},0)-1)*2+IF($C$45="Matin",0,1))))),"OK"))</f>
      </c>
      <c r="N45" s="23">
        <f>IF($D$45="",0,IFERROR(INDIRECT("'Famille - "&amp;$D$45&amp;"'!"&amp;"$B$5"),0))</f>
      </c>
      <c r="O45" s="23">
        <f>IF($L$45&gt;$N$45,$L$45-$N$45,0)</f>
      </c>
      <c r="P45" s="23">
        <f>","&amp;TEXTJOIN(",",TRUE,$E$45:$J$45)&amp;","</f>
      </c>
    </row>
    <row r="46">
      <c r="A46" t="s" s="21">
        <v>127</v>
      </c>
      <c r="B46" t="s" s="21">
        <v>125</v>
      </c>
      <c r="C46" t="s" s="21">
        <v>106</v>
      </c>
      <c r="D46" t="s" s="20">
        <v>117</v>
      </c>
      <c r="E46" t="s" s="20">
        <v>117</v>
      </c>
      <c r="F46" t="s" s="20">
        <v>109</v>
      </c>
      <c r="G46" t="s" s="20">
        <v>111</v>
      </c>
      <c r="H46" t="s" s="20">
        <v>111</v>
      </c>
      <c r="I46" t="s" s="20">
        <v>111</v>
      </c>
      <c r="J46" t="s" s="20">
        <v>111</v>
      </c>
      <c r="K46" s="23">
        <f>IF($A$46="","",$A$46&amp;"|"&amp;$B$46&amp;"|"&amp;$C$46)</f>
      </c>
      <c r="L46" s="23">
        <f>COUNTA($E$46:$J$46)</f>
      </c>
      <c r="M46" s="23">
        <f>IF($D$46="","OK",IFERROR(UPPER(INDIRECT("'Famille - "&amp;$D$46&amp;"'!"&amp;ADDRESS(10,(2+IF($A$46="Paire",0,1)*8+(MATCH($B$46,{"Lundi","Mardi","Jeudi","Vendredi"},0)-1)*2+IF($C$46="Matin",0,1))))),"OK"))</f>
      </c>
      <c r="N46" s="23">
        <f>IF($D$46="",0,IFERROR(INDIRECT("'Famille - "&amp;$D$46&amp;"'!"&amp;"$B$5"),0))</f>
      </c>
      <c r="O46" s="23">
        <f>IF($L$46&gt;$N$46,$L$46-$N$46,0)</f>
      </c>
      <c r="P46" s="23">
        <f>","&amp;TEXTJOIN(",",TRUE,$E$46:$J$46)&amp;","</f>
      </c>
    </row>
    <row r="47">
      <c r="A47" t="s" s="21">
        <v>127</v>
      </c>
      <c r="B47" t="s" s="21">
        <v>125</v>
      </c>
      <c r="C47" t="s" s="21">
        <v>106</v>
      </c>
      <c r="D47" t="s" s="20">
        <v>107</v>
      </c>
      <c r="E47" t="s" s="20">
        <v>107</v>
      </c>
      <c r="F47" t="s" s="20">
        <v>115</v>
      </c>
      <c r="G47" t="s" s="20">
        <v>116</v>
      </c>
      <c r="H47" t="s" s="20">
        <v>118</v>
      </c>
      <c r="I47" t="s" s="20">
        <v>111</v>
      </c>
      <c r="J47" t="s" s="20">
        <v>111</v>
      </c>
      <c r="K47" s="23">
        <f>IF($A$47="","",$A$47&amp;"|"&amp;$B$47&amp;"|"&amp;$C$47)</f>
      </c>
      <c r="L47" s="23">
        <f>COUNTA($E$47:$J$47)</f>
      </c>
      <c r="M47" s="23">
        <f>IF($D$47="","OK",IFERROR(UPPER(INDIRECT("'Famille - "&amp;$D$47&amp;"'!"&amp;ADDRESS(10,(2+IF($A$47="Paire",0,1)*8+(MATCH($B$47,{"Lundi","Mardi","Jeudi","Vendredi"},0)-1)*2+IF($C$47="Matin",0,1))))),"OK"))</f>
      </c>
      <c r="N47" s="23">
        <f>IF($D$47="",0,IFERROR(INDIRECT("'Famille - "&amp;$D$47&amp;"'!"&amp;"$B$5"),0))</f>
      </c>
      <c r="O47" s="23">
        <f>IF($L$47&gt;$N$47,$L$47-$N$47,0)</f>
      </c>
      <c r="P47" s="23">
        <f>","&amp;TEXTJOIN(",",TRUE,$E$47:$J$47)&amp;","</f>
      </c>
    </row>
    <row r="48">
      <c r="A48" t="s" s="21">
        <v>127</v>
      </c>
      <c r="B48" t="s" s="21">
        <v>125</v>
      </c>
      <c r="C48" t="s" s="21">
        <v>106</v>
      </c>
      <c r="D48" t="s" s="20">
        <v>110</v>
      </c>
      <c r="E48" t="s" s="20">
        <v>110</v>
      </c>
      <c r="F48" t="s" s="20">
        <v>119</v>
      </c>
      <c r="G48" t="s" s="20">
        <v>120</v>
      </c>
      <c r="H48" t="s" s="20">
        <v>113</v>
      </c>
      <c r="I48" t="s" s="20">
        <v>111</v>
      </c>
      <c r="J48" t="s" s="20">
        <v>111</v>
      </c>
      <c r="K48" s="23">
        <f>IF($A$48="","",$A$48&amp;"|"&amp;$B$48&amp;"|"&amp;$C$48)</f>
      </c>
      <c r="L48" s="23">
        <f>COUNTA($E$48:$J$48)</f>
      </c>
      <c r="M48" s="23">
        <f>IF($D$48="","OK",IFERROR(UPPER(INDIRECT("'Famille - "&amp;$D$48&amp;"'!"&amp;ADDRESS(10,(2+IF($A$48="Paire",0,1)*8+(MATCH($B$48,{"Lundi","Mardi","Jeudi","Vendredi"},0)-1)*2+IF($C$48="Matin",0,1))))),"OK"))</f>
      </c>
      <c r="N48" s="23">
        <f>IF($D$48="",0,IFERROR(INDIRECT("'Famille - "&amp;$D$48&amp;"'!"&amp;"$B$5"),0))</f>
      </c>
      <c r="O48" s="23">
        <f>IF($L$48&gt;$N$48,$L$48-$N$48,0)</f>
      </c>
      <c r="P48" s="23">
        <f>","&amp;TEXTJOIN(",",TRUE,$E$48:$J$48)&amp;","</f>
      </c>
    </row>
    <row r="49">
      <c r="A49" t="s" s="21">
        <v>127</v>
      </c>
      <c r="B49" t="s" s="21">
        <v>125</v>
      </c>
      <c r="C49" t="s" s="21">
        <v>106</v>
      </c>
      <c r="D49" t="s" s="20">
        <v>108</v>
      </c>
      <c r="E49" t="s" s="20">
        <v>108</v>
      </c>
      <c r="F49" t="s" s="20">
        <v>114</v>
      </c>
      <c r="G49" t="s" s="20">
        <v>111</v>
      </c>
      <c r="H49" t="s" s="20">
        <v>111</v>
      </c>
      <c r="I49" t="s" s="20">
        <v>111</v>
      </c>
      <c r="J49" t="s" s="20">
        <v>111</v>
      </c>
      <c r="K49" s="23">
        <f>IF($A$49="","",$A$49&amp;"|"&amp;$B$49&amp;"|"&amp;$C$49)</f>
      </c>
      <c r="L49" s="23">
        <f>COUNTA($E$49:$J$49)</f>
      </c>
      <c r="M49" s="23">
        <f>IF($D$49="","OK",IFERROR(UPPER(INDIRECT("'Famille - "&amp;$D$49&amp;"'!"&amp;ADDRESS(10,(2+IF($A$49="Paire",0,1)*8+(MATCH($B$49,{"Lundi","Mardi","Jeudi","Vendredi"},0)-1)*2+IF($C$49="Matin",0,1))))),"OK"))</f>
      </c>
      <c r="N49" s="23">
        <f>IF($D$49="",0,IFERROR(INDIRECT("'Famille - "&amp;$D$49&amp;"'!"&amp;"$B$5"),0))</f>
      </c>
      <c r="O49" s="23">
        <f>IF($L$49&gt;$N$49,$L$49-$N$49,0)</f>
      </c>
      <c r="P49" s="23">
        <f>","&amp;TEXTJOIN(",",TRUE,$E$49:$J$49)&amp;","</f>
      </c>
    </row>
    <row r="50">
      <c r="A50" t="s" s="21">
        <v>127</v>
      </c>
      <c r="B50" t="s" s="21">
        <v>125</v>
      </c>
      <c r="C50" t="s" s="21">
        <v>121</v>
      </c>
      <c r="D50" t="s" s="20">
        <v>112</v>
      </c>
      <c r="E50" t="s" s="20">
        <v>113</v>
      </c>
      <c r="F50" t="s" s="20">
        <v>114</v>
      </c>
      <c r="G50" t="s" s="20">
        <v>108</v>
      </c>
      <c r="H50" t="s" s="20">
        <v>109</v>
      </c>
      <c r="I50" t="s" s="20">
        <v>111</v>
      </c>
      <c r="J50" t="s" s="20">
        <v>111</v>
      </c>
      <c r="K50" s="23">
        <f>IF($A$50="","",$A$50&amp;"|"&amp;$B$50&amp;"|"&amp;$C$50)</f>
      </c>
      <c r="L50" s="23">
        <f>COUNTA($E$50:$J$50)</f>
      </c>
      <c r="M50" s="23">
        <f>IF($D$50="","OK",IFERROR(UPPER(INDIRECT("'Famille - "&amp;$D$50&amp;"'!"&amp;ADDRESS(10,(2+IF($A$50="Paire",0,1)*8+(MATCH($B$50,{"Lundi","Mardi","Jeudi","Vendredi"},0)-1)*2+IF($C$50="Matin",0,1))))),"OK"))</f>
      </c>
      <c r="N50" s="23">
        <f>IF($D$50="",0,IFERROR(INDIRECT("'Famille - "&amp;$D$50&amp;"'!"&amp;"$B$5"),0))</f>
      </c>
      <c r="O50" s="23">
        <f>IF($L$50&gt;$N$50,$L$50-$N$50,0)</f>
      </c>
      <c r="P50" s="23">
        <f>","&amp;TEXTJOIN(",",TRUE,$E$50:$J$50)&amp;","</f>
      </c>
    </row>
    <row r="51">
      <c r="A51" t="s" s="21">
        <v>127</v>
      </c>
      <c r="B51" t="s" s="21">
        <v>125</v>
      </c>
      <c r="C51" t="s" s="21">
        <v>121</v>
      </c>
      <c r="D51" t="s" s="20">
        <v>120</v>
      </c>
      <c r="E51" t="s" s="20">
        <v>120</v>
      </c>
      <c r="F51" t="s" s="20">
        <v>115</v>
      </c>
      <c r="G51" t="s" s="20">
        <v>111</v>
      </c>
      <c r="H51" t="s" s="20">
        <v>111</v>
      </c>
      <c r="I51" t="s" s="20">
        <v>111</v>
      </c>
      <c r="J51" t="s" s="20">
        <v>111</v>
      </c>
      <c r="K51" s="23">
        <f>IF($A$51="","",$A$51&amp;"|"&amp;$B$51&amp;"|"&amp;$C$51)</f>
      </c>
      <c r="L51" s="23">
        <f>COUNTA($E$51:$J$51)</f>
      </c>
      <c r="M51" s="23">
        <f>IF($D$51="","OK",IFERROR(UPPER(INDIRECT("'Famille - "&amp;$D$51&amp;"'!"&amp;ADDRESS(10,(2+IF($A$51="Paire",0,1)*8+(MATCH($B$51,{"Lundi","Mardi","Jeudi","Vendredi"},0)-1)*2+IF($C$51="Matin",0,1))))),"OK"))</f>
      </c>
      <c r="N51" s="23">
        <f>IF($D$51="",0,IFERROR(INDIRECT("'Famille - "&amp;$D$51&amp;"'!"&amp;"$B$5"),0))</f>
      </c>
      <c r="O51" s="23">
        <f>IF($L$51&gt;$N$51,$L$51-$N$51,0)</f>
      </c>
      <c r="P51" s="23">
        <f>","&amp;TEXTJOIN(",",TRUE,$E$51:$J$51)&amp;","</f>
      </c>
    </row>
    <row r="52">
      <c r="A52" t="s" s="21">
        <v>127</v>
      </c>
      <c r="B52" t="s" s="21">
        <v>125</v>
      </c>
      <c r="C52" t="s" s="21">
        <v>121</v>
      </c>
      <c r="D52" t="s" s="20">
        <v>110</v>
      </c>
      <c r="E52" t="s" s="20">
        <v>110</v>
      </c>
      <c r="F52" t="s" s="20">
        <v>116</v>
      </c>
      <c r="G52" t="s" s="20">
        <v>118</v>
      </c>
      <c r="H52" t="s" s="20">
        <v>119</v>
      </c>
      <c r="I52" t="s" s="20">
        <v>111</v>
      </c>
      <c r="J52" t="s" s="20">
        <v>111</v>
      </c>
      <c r="K52" s="23">
        <f>IF($A$52="","",$A$52&amp;"|"&amp;$B$52&amp;"|"&amp;$C$52)</f>
      </c>
      <c r="L52" s="23">
        <f>COUNTA($E$52:$J$52)</f>
      </c>
      <c r="M52" s="23">
        <f>IF($D$52="","OK",IFERROR(UPPER(INDIRECT("'Famille - "&amp;$D$52&amp;"'!"&amp;ADDRESS(10,(2+IF($A$52="Paire",0,1)*8+(MATCH($B$52,{"Lundi","Mardi","Jeudi","Vendredi"},0)-1)*2+IF($C$52="Matin",0,1))))),"OK"))</f>
      </c>
      <c r="N52" s="23">
        <f>IF($D$52="",0,IFERROR(INDIRECT("'Famille - "&amp;$D$52&amp;"'!"&amp;"$B$5"),0))</f>
      </c>
      <c r="O52" s="23">
        <f>IF($L$52&gt;$N$52,$L$52-$N$52,0)</f>
      </c>
      <c r="P52" s="23">
        <f>","&amp;TEXTJOIN(",",TRUE,$E$52:$J$52)&amp;","</f>
      </c>
    </row>
    <row r="53">
      <c r="A53" t="s" s="21">
        <v>127</v>
      </c>
      <c r="B53" t="s" s="21">
        <v>125</v>
      </c>
      <c r="C53" t="s" s="21">
        <v>121</v>
      </c>
      <c r="D53" t="s" s="20">
        <v>107</v>
      </c>
      <c r="E53" t="s" s="20">
        <v>107</v>
      </c>
      <c r="F53" t="s" s="20">
        <v>117</v>
      </c>
      <c r="G53" t="s" s="20">
        <v>111</v>
      </c>
      <c r="H53" t="s" s="20">
        <v>111</v>
      </c>
      <c r="I53" t="s" s="20">
        <v>111</v>
      </c>
      <c r="J53" t="s" s="20">
        <v>111</v>
      </c>
      <c r="K53" s="23">
        <f>IF($A$53="","",$A$53&amp;"|"&amp;$B$53&amp;"|"&amp;$C$53)</f>
      </c>
      <c r="L53" s="23">
        <f>COUNTA($E$53:$J$53)</f>
      </c>
      <c r="M53" s="23">
        <f>IF($D$53="","OK",IFERROR(UPPER(INDIRECT("'Famille - "&amp;$D$53&amp;"'!"&amp;ADDRESS(10,(2+IF($A$53="Paire",0,1)*8+(MATCH($B$53,{"Lundi","Mardi","Jeudi","Vendredi"},0)-1)*2+IF($C$53="Matin",0,1))))),"OK"))</f>
      </c>
      <c r="N53" s="23">
        <f>IF($D$53="",0,IFERROR(INDIRECT("'Famille - "&amp;$D$53&amp;"'!"&amp;"$B$5"),0))</f>
      </c>
      <c r="O53" s="23">
        <f>IF($L$53&gt;$N$53,$L$53-$N$53,0)</f>
      </c>
      <c r="P53" s="23">
        <f>","&amp;TEXTJOIN(",",TRUE,$E$53:$J$53)&amp;","</f>
      </c>
    </row>
    <row r="54">
      <c r="A54" t="s" s="21">
        <v>127</v>
      </c>
      <c r="B54" t="s" s="21">
        <v>126</v>
      </c>
      <c r="C54" t="s" s="21">
        <v>106</v>
      </c>
      <c r="D54" t="s" s="20">
        <v>124</v>
      </c>
      <c r="E54" t="s" s="20">
        <v>108</v>
      </c>
      <c r="F54" t="s" s="20">
        <v>109</v>
      </c>
      <c r="G54" t="s" s="20">
        <v>110</v>
      </c>
      <c r="H54" t="s" s="20">
        <v>111</v>
      </c>
      <c r="I54" t="s" s="20">
        <v>111</v>
      </c>
      <c r="J54" t="s" s="20">
        <v>111</v>
      </c>
      <c r="K54" s="23">
        <f>IF($A$54="","",$A$54&amp;"|"&amp;$B$54&amp;"|"&amp;$C$54)</f>
      </c>
      <c r="L54" s="23">
        <f>COUNTA($E$54:$J$54)</f>
      </c>
      <c r="M54" s="23">
        <f>IF($D$54="","OK",IFERROR(UPPER(INDIRECT("'Famille - "&amp;$D$54&amp;"'!"&amp;ADDRESS(10,(2+IF($A$54="Paire",0,1)*8+(MATCH($B$54,{"Lundi","Mardi","Jeudi","Vendredi"},0)-1)*2+IF($C$54="Matin",0,1))))),"OK"))</f>
      </c>
      <c r="N54" s="23">
        <f>IF($D$54="",0,IFERROR(INDIRECT("'Famille - "&amp;$D$54&amp;"'!"&amp;"$B$5"),0))</f>
      </c>
      <c r="O54" s="23">
        <f>IF($L$54&gt;$N$54,$L$54-$N$54,0)</f>
      </c>
      <c r="P54" s="23">
        <f>","&amp;TEXTJOIN(",",TRUE,$E$54:$J$54)&amp;","</f>
      </c>
    </row>
    <row r="55">
      <c r="A55" t="s" s="21">
        <v>127</v>
      </c>
      <c r="B55" t="s" s="21">
        <v>126</v>
      </c>
      <c r="C55" t="s" s="21">
        <v>106</v>
      </c>
      <c r="D55" t="s" s="20">
        <v>115</v>
      </c>
      <c r="E55" t="s" s="20">
        <v>115</v>
      </c>
      <c r="F55" t="s" s="20">
        <v>107</v>
      </c>
      <c r="G55" t="s" s="20">
        <v>111</v>
      </c>
      <c r="H55" t="s" s="20">
        <v>111</v>
      </c>
      <c r="I55" t="s" s="20">
        <v>111</v>
      </c>
      <c r="J55" t="s" s="20">
        <v>111</v>
      </c>
      <c r="K55" s="23">
        <f>IF($A$55="","",$A$55&amp;"|"&amp;$B$55&amp;"|"&amp;$C$55)</f>
      </c>
      <c r="L55" s="23">
        <f>COUNTA($E$55:$J$55)</f>
      </c>
      <c r="M55" s="23">
        <f>IF($D$55="","OK",IFERROR(UPPER(INDIRECT("'Famille - "&amp;$D$55&amp;"'!"&amp;ADDRESS(10,(2+IF($A$55="Paire",0,1)*8+(MATCH($B$55,{"Lundi","Mardi","Jeudi","Vendredi"},0)-1)*2+IF($C$55="Matin",0,1))))),"OK"))</f>
      </c>
      <c r="N55" s="23">
        <f>IF($D$55="",0,IFERROR(INDIRECT("'Famille - "&amp;$D$55&amp;"'!"&amp;"$B$5"),0))</f>
      </c>
      <c r="O55" s="23">
        <f>IF($L$55&gt;$N$55,$L$55-$N$55,0)</f>
      </c>
      <c r="P55" s="23">
        <f>","&amp;TEXTJOIN(",",TRUE,$E$55:$J$55)&amp;","</f>
      </c>
    </row>
    <row r="56">
      <c r="A56" t="s" s="21">
        <v>127</v>
      </c>
      <c r="B56" t="s" s="21">
        <v>126</v>
      </c>
      <c r="C56" t="s" s="21">
        <v>106</v>
      </c>
      <c r="D56" t="s" s="20">
        <v>122</v>
      </c>
      <c r="E56" t="s" s="20">
        <v>116</v>
      </c>
      <c r="F56" t="s" s="20">
        <v>118</v>
      </c>
      <c r="G56" t="s" s="20">
        <v>119</v>
      </c>
      <c r="H56" t="s" s="20">
        <v>120</v>
      </c>
      <c r="I56" t="s" s="20">
        <v>113</v>
      </c>
      <c r="J56" t="s" s="20">
        <v>111</v>
      </c>
      <c r="K56" s="23">
        <f>IF($A$56="","",$A$56&amp;"|"&amp;$B$56&amp;"|"&amp;$C$56)</f>
      </c>
      <c r="L56" s="23">
        <f>COUNTA($E$56:$J$56)</f>
      </c>
      <c r="M56" s="23">
        <f>IF($D$56="","OK",IFERROR(UPPER(INDIRECT("'Famille - "&amp;$D$56&amp;"'!"&amp;ADDRESS(10,(2+IF($A$56="Paire",0,1)*8+(MATCH($B$56,{"Lundi","Mardi","Jeudi","Vendredi"},0)-1)*2+IF($C$56="Matin",0,1))))),"OK"))</f>
      </c>
      <c r="N56" s="23">
        <f>IF($D$56="",0,IFERROR(INDIRECT("'Famille - "&amp;$D$56&amp;"'!"&amp;"$B$5"),0))</f>
      </c>
      <c r="O56" s="23">
        <f>IF($L$56&gt;$N$56,$L$56-$N$56,0)</f>
      </c>
      <c r="P56" s="23">
        <f>","&amp;TEXTJOIN(",",TRUE,$E$56:$J$56)&amp;","</f>
      </c>
    </row>
    <row r="57">
      <c r="A57" t="s" s="21">
        <v>127</v>
      </c>
      <c r="B57" t="s" s="21">
        <v>126</v>
      </c>
      <c r="C57" t="s" s="21">
        <v>106</v>
      </c>
      <c r="D57" t="s" s="20">
        <v>117</v>
      </c>
      <c r="E57" t="s" s="20">
        <v>117</v>
      </c>
      <c r="F57" t="s" s="20">
        <v>114</v>
      </c>
      <c r="G57" t="s" s="20">
        <v>111</v>
      </c>
      <c r="H57" t="s" s="20">
        <v>111</v>
      </c>
      <c r="I57" t="s" s="20">
        <v>111</v>
      </c>
      <c r="J57" t="s" s="20">
        <v>111</v>
      </c>
      <c r="K57" s="23">
        <f>IF($A$57="","",$A$57&amp;"|"&amp;$B$57&amp;"|"&amp;$C$57)</f>
      </c>
      <c r="L57" s="23">
        <f>COUNTA($E$57:$J$57)</f>
      </c>
      <c r="M57" s="23">
        <f>IF($D$57="","OK",IFERROR(UPPER(INDIRECT("'Famille - "&amp;$D$57&amp;"'!"&amp;ADDRESS(10,(2+IF($A$57="Paire",0,1)*8+(MATCH($B$57,{"Lundi","Mardi","Jeudi","Vendredi"},0)-1)*2+IF($C$57="Matin",0,1))))),"OK"))</f>
      </c>
      <c r="N57" s="23">
        <f>IF($D$57="",0,IFERROR(INDIRECT("'Famille - "&amp;$D$57&amp;"'!"&amp;"$B$5"),0))</f>
      </c>
      <c r="O57" s="23">
        <f>IF($L$57&gt;$N$57,$L$57-$N$57,0)</f>
      </c>
      <c r="P57" s="23">
        <f>","&amp;TEXTJOIN(",",TRUE,$E$57:$J$57)&amp;","</f>
      </c>
    </row>
    <row r="58">
      <c r="A58" t="s" s="21">
        <v>127</v>
      </c>
      <c r="B58" t="s" s="21">
        <v>126</v>
      </c>
      <c r="C58" t="s" s="21">
        <v>121</v>
      </c>
      <c r="D58" t="s" s="20">
        <v>112</v>
      </c>
      <c r="E58" t="s" s="20">
        <v>113</v>
      </c>
      <c r="F58" t="s" s="20">
        <v>114</v>
      </c>
      <c r="G58" t="s" s="20">
        <v>108</v>
      </c>
      <c r="H58" t="s" s="20">
        <v>109</v>
      </c>
      <c r="I58" t="s" s="20">
        <v>111</v>
      </c>
      <c r="J58" t="s" s="20">
        <v>111</v>
      </c>
      <c r="K58" s="23">
        <f>IF($A$58="","",$A$58&amp;"|"&amp;$B$58&amp;"|"&amp;$C$58)</f>
      </c>
      <c r="L58" s="23">
        <f>COUNTA($E$58:$J$58)</f>
      </c>
      <c r="M58" s="23">
        <f>IF($D$58="","OK",IFERROR(UPPER(INDIRECT("'Famille - "&amp;$D$58&amp;"'!"&amp;ADDRESS(10,(2+IF($A$58="Paire",0,1)*8+(MATCH($B$58,{"Lundi","Mardi","Jeudi","Vendredi"},0)-1)*2+IF($C$58="Matin",0,1))))),"OK"))</f>
      </c>
      <c r="N58" s="23">
        <f>IF($D$58="",0,IFERROR(INDIRECT("'Famille - "&amp;$D$58&amp;"'!"&amp;"$B$5"),0))</f>
      </c>
      <c r="O58" s="23">
        <f>IF($L$58&gt;$N$58,$L$58-$N$58,0)</f>
      </c>
      <c r="P58" s="23">
        <f>","&amp;TEXTJOIN(",",TRUE,$E$58:$J$58)&amp;","</f>
      </c>
    </row>
    <row r="59">
      <c r="A59" t="s" s="21">
        <v>127</v>
      </c>
      <c r="B59" t="s" s="21">
        <v>126</v>
      </c>
      <c r="C59" t="s" s="21">
        <v>121</v>
      </c>
      <c r="D59" t="s" s="20">
        <v>120</v>
      </c>
      <c r="E59" t="s" s="20">
        <v>120</v>
      </c>
      <c r="F59" t="s" s="20">
        <v>110</v>
      </c>
      <c r="G59" t="s" s="20">
        <v>115</v>
      </c>
      <c r="H59" t="s" s="20">
        <v>107</v>
      </c>
      <c r="I59" t="s" s="20">
        <v>111</v>
      </c>
      <c r="J59" t="s" s="20">
        <v>111</v>
      </c>
      <c r="K59" s="23">
        <f>IF($A$59="","",$A$59&amp;"|"&amp;$B$59&amp;"|"&amp;$C$59)</f>
      </c>
      <c r="L59" s="23">
        <f>COUNTA($E$59:$J$59)</f>
      </c>
      <c r="M59" s="23">
        <f>IF($D$59="","OK",IFERROR(UPPER(INDIRECT("'Famille - "&amp;$D$59&amp;"'!"&amp;ADDRESS(10,(2+IF($A$59="Paire",0,1)*8+(MATCH($B$59,{"Lundi","Mardi","Jeudi","Vendredi"},0)-1)*2+IF($C$59="Matin",0,1))))),"OK"))</f>
      </c>
      <c r="N59" s="23">
        <f>IF($D$59="",0,IFERROR(INDIRECT("'Famille - "&amp;$D$59&amp;"'!"&amp;"$B$5"),0))</f>
      </c>
      <c r="O59" s="23">
        <f>IF($L$59&gt;$N$59,$L$59-$N$59,0)</f>
      </c>
      <c r="P59" s="23">
        <f>","&amp;TEXTJOIN(",",TRUE,$E$59:$J$59)&amp;","</f>
      </c>
    </row>
    <row r="60">
      <c r="A60" t="s" s="21">
        <v>127</v>
      </c>
      <c r="B60" t="s" s="21">
        <v>126</v>
      </c>
      <c r="C60" t="s" s="21">
        <v>121</v>
      </c>
      <c r="D60" t="s" s="20">
        <v>119</v>
      </c>
      <c r="E60" t="s" s="20">
        <v>119</v>
      </c>
      <c r="F60" t="s" s="20">
        <v>116</v>
      </c>
      <c r="G60" t="s" s="20">
        <v>118</v>
      </c>
      <c r="H60" t="s" s="20">
        <v>117</v>
      </c>
      <c r="I60" t="s" s="20">
        <v>111</v>
      </c>
      <c r="J60" t="s" s="20">
        <v>111</v>
      </c>
      <c r="K60" s="23">
        <f>IF($A$60="","",$A$60&amp;"|"&amp;$B$60&amp;"|"&amp;$C$60)</f>
      </c>
      <c r="L60" s="23">
        <f>COUNTA($E$60:$J$60)</f>
      </c>
      <c r="M60" s="23">
        <f>IF($D$60="","OK",IFERROR(UPPER(INDIRECT("'Famille - "&amp;$D$60&amp;"'!"&amp;ADDRESS(10,(2+IF($A$60="Paire",0,1)*8+(MATCH($B$60,{"Lundi","Mardi","Jeudi","Vendredi"},0)-1)*2+IF($C$60="Matin",0,1))))),"OK"))</f>
      </c>
      <c r="N60" s="23">
        <f>IF($D$60="",0,IFERROR(INDIRECT("'Famille - "&amp;$D$60&amp;"'!"&amp;"$B$5"),0))</f>
      </c>
      <c r="O60" s="23">
        <f>IF($L$60&gt;$N$60,$L$60-$N$60,0)</f>
      </c>
      <c r="P60" s="23">
        <f>","&amp;TEXTJOIN(",",TRUE,$E$60:$J$60)&amp;","</f>
      </c>
    </row>
    <row r="61">
      <c r="A61" t="s" s="21">
        <v>111</v>
      </c>
      <c r="B61" t="s" s="21">
        <v>111</v>
      </c>
      <c r="C61" t="s" s="21">
        <v>111</v>
      </c>
      <c r="D61" t="s" s="20">
        <v>111</v>
      </c>
      <c r="E61" t="s" s="20">
        <v>111</v>
      </c>
      <c r="F61" t="s" s="20">
        <v>111</v>
      </c>
      <c r="G61" t="s" s="20">
        <v>111</v>
      </c>
      <c r="H61" t="s" s="20">
        <v>111</v>
      </c>
      <c r="I61" t="s" s="20">
        <v>111</v>
      </c>
      <c r="J61" t="s" s="20">
        <v>111</v>
      </c>
      <c r="K61" s="23">
        <f>IF($A$61="","",$A$61&amp;"|"&amp;$B$61&amp;"|"&amp;$C$61)</f>
      </c>
      <c r="L61" s="23">
        <f>COUNTA($E$61:$J$61)</f>
      </c>
      <c r="M61" s="23">
        <f>IF($D$61="","OK",IFERROR(UPPER(INDIRECT("'Famille - "&amp;$D$61&amp;"'!"&amp;ADDRESS(10,(2+IF($A$61="Paire",0,1)*8+(MATCH($B$61,{"Lundi","Mardi","Jeudi","Vendredi"},0)-1)*2+IF($C$61="Matin",0,1))))),"OK"))</f>
      </c>
      <c r="N61" s="23">
        <f>IF($D$61="",0,IFERROR(INDIRECT("'Famille - "&amp;$D$61&amp;"'!"&amp;"$B$5"),0))</f>
      </c>
      <c r="O61" s="23">
        <f>IF($L$61&gt;$N$61,$L$61-$N$61,0)</f>
      </c>
      <c r="P61" s="23">
        <f>","&amp;TEXTJOIN(",",TRUE,$E$61:$J$61)&amp;","</f>
      </c>
    </row>
    <row r="62">
      <c r="A62" t="s" s="21">
        <v>111</v>
      </c>
      <c r="B62" t="s" s="21">
        <v>111</v>
      </c>
      <c r="C62" t="s" s="21">
        <v>111</v>
      </c>
      <c r="D62" t="s" s="20">
        <v>111</v>
      </c>
      <c r="E62" t="s" s="20">
        <v>111</v>
      </c>
      <c r="F62" t="s" s="20">
        <v>111</v>
      </c>
      <c r="G62" t="s" s="20">
        <v>111</v>
      </c>
      <c r="H62" t="s" s="20">
        <v>111</v>
      </c>
      <c r="I62" t="s" s="20">
        <v>111</v>
      </c>
      <c r="J62" t="s" s="20">
        <v>111</v>
      </c>
      <c r="K62" s="23">
        <f>IF($A$62="","",$A$62&amp;"|"&amp;$B$62&amp;"|"&amp;$C$62)</f>
      </c>
      <c r="L62" s="23">
        <f>COUNTA($E$62:$J$62)</f>
      </c>
      <c r="M62" s="23">
        <f>IF($D$62="","OK",IFERROR(UPPER(INDIRECT("'Famille - "&amp;$D$62&amp;"'!"&amp;ADDRESS(10,(2+IF($A$62="Paire",0,1)*8+(MATCH($B$62,{"Lundi","Mardi","Jeudi","Vendredi"},0)-1)*2+IF($C$62="Matin",0,1))))),"OK"))</f>
      </c>
      <c r="N62" s="23">
        <f>IF($D$62="",0,IFERROR(INDIRECT("'Famille - "&amp;$D$62&amp;"'!"&amp;"$B$5"),0))</f>
      </c>
      <c r="O62" s="23">
        <f>IF($L$62&gt;$N$62,$L$62-$N$62,0)</f>
      </c>
      <c r="P62" s="23">
        <f>","&amp;TEXTJOIN(",",TRUE,$E$62:$J$62)&amp;","</f>
      </c>
    </row>
    <row r="63">
      <c r="A63" t="s" s="21">
        <v>111</v>
      </c>
      <c r="B63" t="s" s="21">
        <v>111</v>
      </c>
      <c r="C63" t="s" s="21">
        <v>111</v>
      </c>
      <c r="D63" t="s" s="20">
        <v>111</v>
      </c>
      <c r="E63" t="s" s="20">
        <v>111</v>
      </c>
      <c r="F63" t="s" s="20">
        <v>111</v>
      </c>
      <c r="G63" t="s" s="20">
        <v>111</v>
      </c>
      <c r="H63" t="s" s="20">
        <v>111</v>
      </c>
      <c r="I63" t="s" s="20">
        <v>111</v>
      </c>
      <c r="J63" t="s" s="20">
        <v>111</v>
      </c>
      <c r="K63" s="23">
        <f>IF($A$63="","",$A$63&amp;"|"&amp;$B$63&amp;"|"&amp;$C$63)</f>
      </c>
      <c r="L63" s="23">
        <f>COUNTA($E$63:$J$63)</f>
      </c>
      <c r="M63" s="23">
        <f>IF($D$63="","OK",IFERROR(UPPER(INDIRECT("'Famille - "&amp;$D$63&amp;"'!"&amp;ADDRESS(10,(2+IF($A$63="Paire",0,1)*8+(MATCH($B$63,{"Lundi","Mardi","Jeudi","Vendredi"},0)-1)*2+IF($C$63="Matin",0,1))))),"OK"))</f>
      </c>
      <c r="N63" s="23">
        <f>IF($D$63="",0,IFERROR(INDIRECT("'Famille - "&amp;$D$63&amp;"'!"&amp;"$B$5"),0))</f>
      </c>
      <c r="O63" s="23">
        <f>IF($L$63&gt;$N$63,$L$63-$N$63,0)</f>
      </c>
      <c r="P63" s="23">
        <f>","&amp;TEXTJOIN(",",TRUE,$E$63:$J$63)&amp;","</f>
      </c>
    </row>
    <row r="64">
      <c r="A64" t="s" s="21">
        <v>111</v>
      </c>
      <c r="B64" t="s" s="21">
        <v>111</v>
      </c>
      <c r="C64" t="s" s="21">
        <v>111</v>
      </c>
      <c r="D64" t="s" s="20">
        <v>111</v>
      </c>
      <c r="E64" t="s" s="20">
        <v>111</v>
      </c>
      <c r="F64" t="s" s="20">
        <v>111</v>
      </c>
      <c r="G64" t="s" s="20">
        <v>111</v>
      </c>
      <c r="H64" t="s" s="20">
        <v>111</v>
      </c>
      <c r="I64" t="s" s="20">
        <v>111</v>
      </c>
      <c r="J64" t="s" s="20">
        <v>111</v>
      </c>
      <c r="K64" s="23">
        <f>IF($A$64="","",$A$64&amp;"|"&amp;$B$64&amp;"|"&amp;$C$64)</f>
      </c>
      <c r="L64" s="23">
        <f>COUNTA($E$64:$J$64)</f>
      </c>
      <c r="M64" s="23">
        <f>IF($D$64="","OK",IFERROR(UPPER(INDIRECT("'Famille - "&amp;$D$64&amp;"'!"&amp;ADDRESS(10,(2+IF($A$64="Paire",0,1)*8+(MATCH($B$64,{"Lundi","Mardi","Jeudi","Vendredi"},0)-1)*2+IF($C$64="Matin",0,1))))),"OK"))</f>
      </c>
      <c r="N64" s="23">
        <f>IF($D$64="",0,IFERROR(INDIRECT("'Famille - "&amp;$D$64&amp;"'!"&amp;"$B$5"),0))</f>
      </c>
      <c r="O64" s="23">
        <f>IF($L$64&gt;$N$64,$L$64-$N$64,0)</f>
      </c>
      <c r="P64" s="23">
        <f>","&amp;TEXTJOIN(",",TRUE,$E$64:$J$64)&amp;","</f>
      </c>
    </row>
    <row r="65">
      <c r="A65" t="s" s="21">
        <v>111</v>
      </c>
      <c r="B65" t="s" s="21">
        <v>111</v>
      </c>
      <c r="C65" t="s" s="21">
        <v>111</v>
      </c>
      <c r="D65" t="s" s="20">
        <v>111</v>
      </c>
      <c r="E65" t="s" s="20">
        <v>111</v>
      </c>
      <c r="F65" t="s" s="20">
        <v>111</v>
      </c>
      <c r="G65" t="s" s="20">
        <v>111</v>
      </c>
      <c r="H65" t="s" s="20">
        <v>111</v>
      </c>
      <c r="I65" t="s" s="20">
        <v>111</v>
      </c>
      <c r="J65" t="s" s="20">
        <v>111</v>
      </c>
      <c r="K65" s="23">
        <f>IF($A$65="","",$A$65&amp;"|"&amp;$B$65&amp;"|"&amp;$C$65)</f>
      </c>
      <c r="L65" s="23">
        <f>COUNTA($E$65:$J$65)</f>
      </c>
      <c r="M65" s="23">
        <f>IF($D$65="","OK",IFERROR(UPPER(INDIRECT("'Famille - "&amp;$D$65&amp;"'!"&amp;ADDRESS(10,(2+IF($A$65="Paire",0,1)*8+(MATCH($B$65,{"Lundi","Mardi","Jeudi","Vendredi"},0)-1)*2+IF($C$65="Matin",0,1))))),"OK"))</f>
      </c>
      <c r="N65" s="23">
        <f>IF($D$65="",0,IFERROR(INDIRECT("'Famille - "&amp;$D$65&amp;"'!"&amp;"$B$5"),0))</f>
      </c>
      <c r="O65" s="23">
        <f>IF($L$65&gt;$N$65,$L$65-$N$65,0)</f>
      </c>
      <c r="P65" s="23">
        <f>","&amp;TEXTJOIN(",",TRUE,$E$65:$J$65)&amp;","</f>
      </c>
    </row>
    <row r="66">
      <c r="A66" t="s" s="21">
        <v>111</v>
      </c>
      <c r="B66" t="s" s="21">
        <v>111</v>
      </c>
      <c r="C66" t="s" s="21">
        <v>111</v>
      </c>
      <c r="D66" t="s" s="20">
        <v>111</v>
      </c>
      <c r="E66" t="s" s="20">
        <v>111</v>
      </c>
      <c r="F66" t="s" s="20">
        <v>111</v>
      </c>
      <c r="G66" t="s" s="20">
        <v>111</v>
      </c>
      <c r="H66" t="s" s="20">
        <v>111</v>
      </c>
      <c r="I66" t="s" s="20">
        <v>111</v>
      </c>
      <c r="J66" t="s" s="20">
        <v>111</v>
      </c>
      <c r="K66" s="23">
        <f>IF($A$66="","",$A$66&amp;"|"&amp;$B$66&amp;"|"&amp;$C$66)</f>
      </c>
      <c r="L66" s="23">
        <f>COUNTA($E$66:$J$66)</f>
      </c>
      <c r="M66" s="23">
        <f>IF($D$66="","OK",IFERROR(UPPER(INDIRECT("'Famille - "&amp;$D$66&amp;"'!"&amp;ADDRESS(10,(2+IF($A$66="Paire",0,1)*8+(MATCH($B$66,{"Lundi","Mardi","Jeudi","Vendredi"},0)-1)*2+IF($C$66="Matin",0,1))))),"OK"))</f>
      </c>
      <c r="N66" s="23">
        <f>IF($D$66="",0,IFERROR(INDIRECT("'Famille - "&amp;$D$66&amp;"'!"&amp;"$B$5"),0))</f>
      </c>
      <c r="O66" s="23">
        <f>IF($L$66&gt;$N$66,$L$66-$N$66,0)</f>
      </c>
      <c r="P66" s="23">
        <f>","&amp;TEXTJOIN(",",TRUE,$E$66:$J$66)&amp;","</f>
      </c>
    </row>
    <row r="67">
      <c r="A67" t="s" s="21">
        <v>111</v>
      </c>
      <c r="B67" t="s" s="21">
        <v>111</v>
      </c>
      <c r="C67" t="s" s="21">
        <v>111</v>
      </c>
      <c r="D67" t="s" s="20">
        <v>111</v>
      </c>
      <c r="E67" t="s" s="20">
        <v>111</v>
      </c>
      <c r="F67" t="s" s="20">
        <v>111</v>
      </c>
      <c r="G67" t="s" s="20">
        <v>111</v>
      </c>
      <c r="H67" t="s" s="20">
        <v>111</v>
      </c>
      <c r="I67" t="s" s="20">
        <v>111</v>
      </c>
      <c r="J67" t="s" s="20">
        <v>111</v>
      </c>
      <c r="K67" s="23">
        <f>IF($A$67="","",$A$67&amp;"|"&amp;$B$67&amp;"|"&amp;$C$67)</f>
      </c>
      <c r="L67" s="23">
        <f>COUNTA($E$67:$J$67)</f>
      </c>
      <c r="M67" s="23">
        <f>IF($D$67="","OK",IFERROR(UPPER(INDIRECT("'Famille - "&amp;$D$67&amp;"'!"&amp;ADDRESS(10,(2+IF($A$67="Paire",0,1)*8+(MATCH($B$67,{"Lundi","Mardi","Jeudi","Vendredi"},0)-1)*2+IF($C$67="Matin",0,1))))),"OK"))</f>
      </c>
      <c r="N67" s="23">
        <f>IF($D$67="",0,IFERROR(INDIRECT("'Famille - "&amp;$D$67&amp;"'!"&amp;"$B$5"),0))</f>
      </c>
      <c r="O67" s="23">
        <f>IF($L$67&gt;$N$67,$L$67-$N$67,0)</f>
      </c>
      <c r="P67" s="23">
        <f>","&amp;TEXTJOIN(",",TRUE,$E$67:$J$67)&amp;","</f>
      </c>
    </row>
    <row r="68">
      <c r="A68" t="s" s="21">
        <v>111</v>
      </c>
      <c r="B68" t="s" s="21">
        <v>111</v>
      </c>
      <c r="C68" t="s" s="21">
        <v>111</v>
      </c>
      <c r="D68" t="s" s="20">
        <v>111</v>
      </c>
      <c r="E68" t="s" s="20">
        <v>111</v>
      </c>
      <c r="F68" t="s" s="20">
        <v>111</v>
      </c>
      <c r="G68" t="s" s="20">
        <v>111</v>
      </c>
      <c r="H68" t="s" s="20">
        <v>111</v>
      </c>
      <c r="I68" t="s" s="20">
        <v>111</v>
      </c>
      <c r="J68" t="s" s="20">
        <v>111</v>
      </c>
      <c r="K68" s="23">
        <f>IF($A$68="","",$A$68&amp;"|"&amp;$B$68&amp;"|"&amp;$C$68)</f>
      </c>
      <c r="L68" s="23">
        <f>COUNTA($E$68:$J$68)</f>
      </c>
      <c r="M68" s="23">
        <f>IF($D$68="","OK",IFERROR(UPPER(INDIRECT("'Famille - "&amp;$D$68&amp;"'!"&amp;ADDRESS(10,(2+IF($A$68="Paire",0,1)*8+(MATCH($B$68,{"Lundi","Mardi","Jeudi","Vendredi"},0)-1)*2+IF($C$68="Matin",0,1))))),"OK"))</f>
      </c>
      <c r="N68" s="23">
        <f>IF($D$68="",0,IFERROR(INDIRECT("'Famille - "&amp;$D$68&amp;"'!"&amp;"$B$5"),0))</f>
      </c>
      <c r="O68" s="23">
        <f>IF($L$68&gt;$N$68,$L$68-$N$68,0)</f>
      </c>
      <c r="P68" s="23">
        <f>","&amp;TEXTJOIN(",",TRUE,$E$68:$J$68)&amp;","</f>
      </c>
    </row>
    <row r="69">
      <c r="A69" t="s" s="21">
        <v>111</v>
      </c>
      <c r="B69" t="s" s="21">
        <v>111</v>
      </c>
      <c r="C69" t="s" s="21">
        <v>111</v>
      </c>
      <c r="D69" t="s" s="20">
        <v>111</v>
      </c>
      <c r="E69" t="s" s="20">
        <v>111</v>
      </c>
      <c r="F69" t="s" s="20">
        <v>111</v>
      </c>
      <c r="G69" t="s" s="20">
        <v>111</v>
      </c>
      <c r="H69" t="s" s="20">
        <v>111</v>
      </c>
      <c r="I69" t="s" s="20">
        <v>111</v>
      </c>
      <c r="J69" t="s" s="20">
        <v>111</v>
      </c>
      <c r="K69" s="23">
        <f>IF($A$69="","",$A$69&amp;"|"&amp;$B$69&amp;"|"&amp;$C$69)</f>
      </c>
      <c r="L69" s="23">
        <f>COUNTA($E$69:$J$69)</f>
      </c>
      <c r="M69" s="23">
        <f>IF($D$69="","OK",IFERROR(UPPER(INDIRECT("'Famille - "&amp;$D$69&amp;"'!"&amp;ADDRESS(10,(2+IF($A$69="Paire",0,1)*8+(MATCH($B$69,{"Lundi","Mardi","Jeudi","Vendredi"},0)-1)*2+IF($C$69="Matin",0,1))))),"OK"))</f>
      </c>
      <c r="N69" s="23">
        <f>IF($D$69="",0,IFERROR(INDIRECT("'Famille - "&amp;$D$69&amp;"'!"&amp;"$B$5"),0))</f>
      </c>
      <c r="O69" s="23">
        <f>IF($L$69&gt;$N$69,$L$69-$N$69,0)</f>
      </c>
      <c r="P69" s="23">
        <f>","&amp;TEXTJOIN(",",TRUE,$E$69:$J$69)&amp;","</f>
      </c>
    </row>
    <row r="70">
      <c r="A70" t="s" s="21">
        <v>111</v>
      </c>
      <c r="B70" t="s" s="21">
        <v>111</v>
      </c>
      <c r="C70" t="s" s="21">
        <v>111</v>
      </c>
      <c r="D70" t="s" s="20">
        <v>111</v>
      </c>
      <c r="E70" t="s" s="20">
        <v>111</v>
      </c>
      <c r="F70" t="s" s="20">
        <v>111</v>
      </c>
      <c r="G70" t="s" s="20">
        <v>111</v>
      </c>
      <c r="H70" t="s" s="20">
        <v>111</v>
      </c>
      <c r="I70" t="s" s="20">
        <v>111</v>
      </c>
      <c r="J70" t="s" s="20">
        <v>111</v>
      </c>
      <c r="K70" s="23">
        <f>IF($A$70="","",$A$70&amp;"|"&amp;$B$70&amp;"|"&amp;$C$70)</f>
      </c>
      <c r="L70" s="23">
        <f>COUNTA($E$70:$J$70)</f>
      </c>
      <c r="M70" s="23">
        <f>IF($D$70="","OK",IFERROR(UPPER(INDIRECT("'Famille - "&amp;$D$70&amp;"'!"&amp;ADDRESS(10,(2+IF($A$70="Paire",0,1)*8+(MATCH($B$70,{"Lundi","Mardi","Jeudi","Vendredi"},0)-1)*2+IF($C$70="Matin",0,1))))),"OK"))</f>
      </c>
      <c r="N70" s="23">
        <f>IF($D$70="",0,IFERROR(INDIRECT("'Famille - "&amp;$D$70&amp;"'!"&amp;"$B$5"),0))</f>
      </c>
      <c r="O70" s="23">
        <f>IF($L$70&gt;$N$70,$L$70-$N$70,0)</f>
      </c>
      <c r="P70" s="23">
        <f>","&amp;TEXTJOIN(",",TRUE,$E$70:$J$70)&amp;","</f>
      </c>
    </row>
    <row r="71">
      <c r="A71" t="s" s="21">
        <v>111</v>
      </c>
      <c r="B71" t="s" s="21">
        <v>111</v>
      </c>
      <c r="C71" t="s" s="21">
        <v>111</v>
      </c>
      <c r="D71" t="s" s="20">
        <v>111</v>
      </c>
      <c r="E71" t="s" s="20">
        <v>111</v>
      </c>
      <c r="F71" t="s" s="20">
        <v>111</v>
      </c>
      <c r="G71" t="s" s="20">
        <v>111</v>
      </c>
      <c r="H71" t="s" s="20">
        <v>111</v>
      </c>
      <c r="I71" t="s" s="20">
        <v>111</v>
      </c>
      <c r="J71" t="s" s="20">
        <v>111</v>
      </c>
      <c r="K71" s="23">
        <f>IF($A$71="","",$A$71&amp;"|"&amp;$B$71&amp;"|"&amp;$C$71)</f>
      </c>
      <c r="L71" s="23">
        <f>COUNTA($E$71:$J$71)</f>
      </c>
      <c r="M71" s="23">
        <f>IF($D$71="","OK",IFERROR(UPPER(INDIRECT("'Famille - "&amp;$D$71&amp;"'!"&amp;ADDRESS(10,(2+IF($A$71="Paire",0,1)*8+(MATCH($B$71,{"Lundi","Mardi","Jeudi","Vendredi"},0)-1)*2+IF($C$71="Matin",0,1))))),"OK"))</f>
      </c>
      <c r="N71" s="23">
        <f>IF($D$71="",0,IFERROR(INDIRECT("'Famille - "&amp;$D$71&amp;"'!"&amp;"$B$5"),0))</f>
      </c>
      <c r="O71" s="23">
        <f>IF($L$71&gt;$N$71,$L$71-$N$71,0)</f>
      </c>
      <c r="P71" s="23">
        <f>","&amp;TEXTJOIN(",",TRUE,$E$71:$J$71)&amp;","</f>
      </c>
    </row>
    <row r="72">
      <c r="A72" t="s" s="21">
        <v>111</v>
      </c>
      <c r="B72" t="s" s="21">
        <v>111</v>
      </c>
      <c r="C72" t="s" s="21">
        <v>111</v>
      </c>
      <c r="D72" t="s" s="20">
        <v>111</v>
      </c>
      <c r="E72" t="s" s="20">
        <v>111</v>
      </c>
      <c r="F72" t="s" s="20">
        <v>111</v>
      </c>
      <c r="G72" t="s" s="20">
        <v>111</v>
      </c>
      <c r="H72" t="s" s="20">
        <v>111</v>
      </c>
      <c r="I72" t="s" s="20">
        <v>111</v>
      </c>
      <c r="J72" t="s" s="20">
        <v>111</v>
      </c>
      <c r="K72" s="23">
        <f>IF($A$72="","",$A$72&amp;"|"&amp;$B$72&amp;"|"&amp;$C$72)</f>
      </c>
      <c r="L72" s="23">
        <f>COUNTA($E$72:$J$72)</f>
      </c>
      <c r="M72" s="23">
        <f>IF($D$72="","OK",IFERROR(UPPER(INDIRECT("'Famille - "&amp;$D$72&amp;"'!"&amp;ADDRESS(10,(2+IF($A$72="Paire",0,1)*8+(MATCH($B$72,{"Lundi","Mardi","Jeudi","Vendredi"},0)-1)*2+IF($C$72="Matin",0,1))))),"OK"))</f>
      </c>
      <c r="N72" s="23">
        <f>IF($D$72="",0,IFERROR(INDIRECT("'Famille - "&amp;$D$72&amp;"'!"&amp;"$B$5"),0))</f>
      </c>
      <c r="O72" s="23">
        <f>IF($L$72&gt;$N$72,$L$72-$N$72,0)</f>
      </c>
      <c r="P72" s="23">
        <f>","&amp;TEXTJOIN(",",TRUE,$E$72:$J$72)&amp;","</f>
      </c>
    </row>
    <row r="73">
      <c r="A73" t="s" s="21">
        <v>111</v>
      </c>
      <c r="B73" t="s" s="21">
        <v>111</v>
      </c>
      <c r="C73" t="s" s="21">
        <v>111</v>
      </c>
      <c r="D73" t="s" s="20">
        <v>111</v>
      </c>
      <c r="E73" t="s" s="20">
        <v>111</v>
      </c>
      <c r="F73" t="s" s="20">
        <v>111</v>
      </c>
      <c r="G73" t="s" s="20">
        <v>111</v>
      </c>
      <c r="H73" t="s" s="20">
        <v>111</v>
      </c>
      <c r="I73" t="s" s="20">
        <v>111</v>
      </c>
      <c r="J73" t="s" s="20">
        <v>111</v>
      </c>
      <c r="K73" s="23">
        <f>IF($A$73="","",$A$73&amp;"|"&amp;$B$73&amp;"|"&amp;$C$73)</f>
      </c>
      <c r="L73" s="23">
        <f>COUNTA($E$73:$J$73)</f>
      </c>
      <c r="M73" s="23">
        <f>IF($D$73="","OK",IFERROR(UPPER(INDIRECT("'Famille - "&amp;$D$73&amp;"'!"&amp;ADDRESS(10,(2+IF($A$73="Paire",0,1)*8+(MATCH($B$73,{"Lundi","Mardi","Jeudi","Vendredi"},0)-1)*2+IF($C$73="Matin",0,1))))),"OK"))</f>
      </c>
      <c r="N73" s="23">
        <f>IF($D$73="",0,IFERROR(INDIRECT("'Famille - "&amp;$D$73&amp;"'!"&amp;"$B$5"),0))</f>
      </c>
      <c r="O73" s="23">
        <f>IF($L$73&gt;$N$73,$L$73-$N$73,0)</f>
      </c>
      <c r="P73" s="23">
        <f>","&amp;TEXTJOIN(",",TRUE,$E$73:$J$73)&amp;","</f>
      </c>
    </row>
    <row r="74">
      <c r="A74" t="s" s="21">
        <v>111</v>
      </c>
      <c r="B74" t="s" s="21">
        <v>111</v>
      </c>
      <c r="C74" t="s" s="21">
        <v>111</v>
      </c>
      <c r="D74" t="s" s="20">
        <v>111</v>
      </c>
      <c r="E74" t="s" s="20">
        <v>111</v>
      </c>
      <c r="F74" t="s" s="20">
        <v>111</v>
      </c>
      <c r="G74" t="s" s="20">
        <v>111</v>
      </c>
      <c r="H74" t="s" s="20">
        <v>111</v>
      </c>
      <c r="I74" t="s" s="20">
        <v>111</v>
      </c>
      <c r="J74" t="s" s="20">
        <v>111</v>
      </c>
      <c r="K74" s="23">
        <f>IF($A$74="","",$A$74&amp;"|"&amp;$B$74&amp;"|"&amp;$C$74)</f>
      </c>
      <c r="L74" s="23">
        <f>COUNTA($E$74:$J$74)</f>
      </c>
      <c r="M74" s="23">
        <f>IF($D$74="","OK",IFERROR(UPPER(INDIRECT("'Famille - "&amp;$D$74&amp;"'!"&amp;ADDRESS(10,(2+IF($A$74="Paire",0,1)*8+(MATCH($B$74,{"Lundi","Mardi","Jeudi","Vendredi"},0)-1)*2+IF($C$74="Matin",0,1))))),"OK"))</f>
      </c>
      <c r="N74" s="23">
        <f>IF($D$74="",0,IFERROR(INDIRECT("'Famille - "&amp;$D$74&amp;"'!"&amp;"$B$5"),0))</f>
      </c>
      <c r="O74" s="23">
        <f>IF($L$74&gt;$N$74,$L$74-$N$74,0)</f>
      </c>
      <c r="P74" s="23">
        <f>","&amp;TEXTJOIN(",",TRUE,$E$74:$J$74)&amp;","</f>
      </c>
    </row>
    <row r="75">
      <c r="A75" t="s" s="21">
        <v>111</v>
      </c>
      <c r="B75" t="s" s="21">
        <v>111</v>
      </c>
      <c r="C75" t="s" s="21">
        <v>111</v>
      </c>
      <c r="D75" t="s" s="20">
        <v>111</v>
      </c>
      <c r="E75" t="s" s="20">
        <v>111</v>
      </c>
      <c r="F75" t="s" s="20">
        <v>111</v>
      </c>
      <c r="G75" t="s" s="20">
        <v>111</v>
      </c>
      <c r="H75" t="s" s="20">
        <v>111</v>
      </c>
      <c r="I75" t="s" s="20">
        <v>111</v>
      </c>
      <c r="J75" t="s" s="20">
        <v>111</v>
      </c>
      <c r="K75" s="23">
        <f>IF($A$75="","",$A$75&amp;"|"&amp;$B$75&amp;"|"&amp;$C$75)</f>
      </c>
      <c r="L75" s="23">
        <f>COUNTA($E$75:$J$75)</f>
      </c>
      <c r="M75" s="23">
        <f>IF($D$75="","OK",IFERROR(UPPER(INDIRECT("'Famille - "&amp;$D$75&amp;"'!"&amp;ADDRESS(10,(2+IF($A$75="Paire",0,1)*8+(MATCH($B$75,{"Lundi","Mardi","Jeudi","Vendredi"},0)-1)*2+IF($C$75="Matin",0,1))))),"OK"))</f>
      </c>
      <c r="N75" s="23">
        <f>IF($D$75="",0,IFERROR(INDIRECT("'Famille - "&amp;$D$75&amp;"'!"&amp;"$B$5"),0))</f>
      </c>
      <c r="O75" s="23">
        <f>IF($L$75&gt;$N$75,$L$75-$N$75,0)</f>
      </c>
      <c r="P75" s="23">
        <f>","&amp;TEXTJOIN(",",TRUE,$E$75:$J$75)&amp;","</f>
      </c>
    </row>
    <row r="76">
      <c r="A76" t="s" s="21">
        <v>111</v>
      </c>
      <c r="B76" t="s" s="21">
        <v>111</v>
      </c>
      <c r="C76" t="s" s="21">
        <v>111</v>
      </c>
      <c r="D76" t="s" s="20">
        <v>111</v>
      </c>
      <c r="E76" t="s" s="20">
        <v>111</v>
      </c>
      <c r="F76" t="s" s="20">
        <v>111</v>
      </c>
      <c r="G76" t="s" s="20">
        <v>111</v>
      </c>
      <c r="H76" t="s" s="20">
        <v>111</v>
      </c>
      <c r="I76" t="s" s="20">
        <v>111</v>
      </c>
      <c r="J76" t="s" s="20">
        <v>111</v>
      </c>
      <c r="K76" s="23">
        <f>IF($A$76="","",$A$76&amp;"|"&amp;$B$76&amp;"|"&amp;$C$76)</f>
      </c>
      <c r="L76" s="23">
        <f>COUNTA($E$76:$J$76)</f>
      </c>
      <c r="M76" s="23">
        <f>IF($D$76="","OK",IFERROR(UPPER(INDIRECT("'Famille - "&amp;$D$76&amp;"'!"&amp;ADDRESS(10,(2+IF($A$76="Paire",0,1)*8+(MATCH($B$76,{"Lundi","Mardi","Jeudi","Vendredi"},0)-1)*2+IF($C$76="Matin",0,1))))),"OK"))</f>
      </c>
      <c r="N76" s="23">
        <f>IF($D$76="",0,IFERROR(INDIRECT("'Famille - "&amp;$D$76&amp;"'!"&amp;"$B$5"),0))</f>
      </c>
      <c r="O76" s="23">
        <f>IF($L$76&gt;$N$76,$L$76-$N$76,0)</f>
      </c>
      <c r="P76" s="23">
        <f>","&amp;TEXTJOIN(",",TRUE,$E$76:$J$76)&amp;","</f>
      </c>
    </row>
    <row r="78">
      <c r="A78" t="s" s="13">
        <v>129</v>
      </c>
      <c r="B78" t="s" s="12">
        <v>130</v>
      </c>
      <c r="C78" t="s" s="12">
        <v>131</v>
      </c>
      <c r="D78" t="s" s="12">
        <v>132</v>
      </c>
      <c r="E78" t="s" s="12">
        <v>133</v>
      </c>
      <c r="F78" t="s" s="12">
        <v>134</v>
      </c>
      <c r="G78" t="s" s="12">
        <v>135</v>
      </c>
      <c r="H78" t="s" s="12">
        <v>136</v>
      </c>
      <c r="I78" t="s" s="12">
        <v>137</v>
      </c>
    </row>
    <row r="79">
      <c r="A79" t="s" s="14">
        <v>124</v>
      </c>
      <c r="B79" s="16">
        <f>COUNTIF($D$5:$D$76,$A$79)/2</f>
      </c>
      <c r="C79" t="n" s="16">
        <v>1.0</v>
      </c>
      <c r="D79" s="16">
        <f>ABS($B$79-$C$79)</f>
      </c>
      <c r="E79" s="16">
        <f>IF(OR($H$79&gt;0,$I$79&gt;0),0,MAX(0,MIN(1,1-(MIN(1,IF($C$79&lt;=0,IF($B$79=0,0,1),$D$79/$C$79))*0.8)-(MIN(0.15,$F$79*0.05))+(IF(AND($G$79&gt;0,$F$79=0),MIN(0.05,$G$79*0.01),0)))))</f>
      </c>
      <c r="F79" s="18">
        <f>COUNTIFS($D$5:$D$76,$A$79,$M$5:$M$76,"EVITER")</f>
      </c>
      <c r="G79" s="18">
        <f>COUNTIFS($D$5:$D$76,$A$79,$M$5:$M$76,"PREFERE")</f>
      </c>
      <c r="H79" s="18">
        <f>COUNTIFS($D$5:$D$76,$A$79,$M$5:$M$76,"IMPOSSIBLE")</f>
      </c>
      <c r="I79" s="18">
        <f>SUMIF($A$120:$A$132,$A$79,$S$120:$S$132)</f>
      </c>
    </row>
    <row r="80">
      <c r="A80" t="s" s="15">
        <v>108</v>
      </c>
      <c r="B80" s="17">
        <f>COUNTIF($D$5:$D$76,$A$80)/2</f>
      </c>
      <c r="C80" t="n" s="17">
        <v>2.0</v>
      </c>
      <c r="D80" s="17">
        <f>ABS($B$80-$C$80)</f>
      </c>
      <c r="E80" s="17">
        <f>IF(OR($H$80&gt;0,$I$80&gt;0),0,MAX(0,MIN(1,1-(MIN(1,IF($C$80&lt;=0,IF($B$80=0,0,1),$D$80/$C$80))*0.8)-(MIN(0.15,$F$80*0.05))+(IF(AND($G$80&gt;0,$F$80=0),MIN(0.05,$G$80*0.01),0)))))</f>
      </c>
      <c r="F80" s="19">
        <f>COUNTIFS($D$5:$D$76,$A$80,$M$5:$M$76,"EVITER")</f>
      </c>
      <c r="G80" s="19">
        <f>COUNTIFS($D$5:$D$76,$A$80,$M$5:$M$76,"PREFERE")</f>
      </c>
      <c r="H80" s="19">
        <f>COUNTIFS($D$5:$D$76,$A$80,$M$5:$M$76,"IMPOSSIBLE")</f>
      </c>
      <c r="I80" s="19">
        <f>SUMIF($A$120:$A$132,$A$80,$S$120:$S$132)</f>
      </c>
    </row>
    <row r="81">
      <c r="A81" t="s" s="14">
        <v>109</v>
      </c>
      <c r="B81" s="16">
        <f>COUNTIF($D$5:$D$76,$A$81)/2</f>
      </c>
      <c r="C81" t="n" s="16">
        <v>2.0</v>
      </c>
      <c r="D81" s="16">
        <f>ABS($B$81-$C$81)</f>
      </c>
      <c r="E81" s="16">
        <f>IF(OR($H$81&gt;0,$I$81&gt;0),0,MAX(0,MIN(1,1-(MIN(1,IF($C$81&lt;=0,IF($B$81=0,0,1),$D$81/$C$81))*0.8)-(MIN(0.15,$F$81*0.05))+(IF(AND($G$81&gt;0,$F$81=0),MIN(0.05,$G$81*0.01),0)))))</f>
      </c>
      <c r="F81" s="18">
        <f>COUNTIFS($D$5:$D$76,$A$81,$M$5:$M$76,"EVITER")</f>
      </c>
      <c r="G81" s="18">
        <f>COUNTIFS($D$5:$D$76,$A$81,$M$5:$M$76,"PREFERE")</f>
      </c>
      <c r="H81" s="18">
        <f>COUNTIFS($D$5:$D$76,$A$81,$M$5:$M$76,"IMPOSSIBLE")</f>
      </c>
      <c r="I81" s="18">
        <f>SUMIF($A$120:$A$132,$A$81,$S$120:$S$132)</f>
      </c>
    </row>
    <row r="82">
      <c r="A82" t="s" s="15">
        <v>110</v>
      </c>
      <c r="B82" s="17">
        <f>COUNTIF($D$5:$D$76,$A$82)/2</f>
      </c>
      <c r="C82" t="n" s="17">
        <v>2.0</v>
      </c>
      <c r="D82" s="17">
        <f>ABS($B$82-$C$82)</f>
      </c>
      <c r="E82" s="17">
        <f>IF(OR($H$82&gt;0,$I$82&gt;0),0,MAX(0,MIN(1,1-(MIN(1,IF($C$82&lt;=0,IF($B$82=0,0,1),$D$82/$C$82))*0.8)-(MIN(0.15,$F$82*0.05))+(IF(AND($G$82&gt;0,$F$82=0),MIN(0.05,$G$82*0.01),0)))))</f>
      </c>
      <c r="F82" s="19">
        <f>COUNTIFS($D$5:$D$76,$A$82,$M$5:$M$76,"EVITER")</f>
      </c>
      <c r="G82" s="19">
        <f>COUNTIFS($D$5:$D$76,$A$82,$M$5:$M$76,"PREFERE")</f>
      </c>
      <c r="H82" s="19">
        <f>COUNTIFS($D$5:$D$76,$A$82,$M$5:$M$76,"IMPOSSIBLE")</f>
      </c>
      <c r="I82" s="19">
        <f>SUMIF($A$120:$A$132,$A$82,$S$120:$S$132)</f>
      </c>
    </row>
    <row r="83">
      <c r="A83" t="s" s="14">
        <v>115</v>
      </c>
      <c r="B83" s="16">
        <f>COUNTIF($D$5:$D$76,$A$83)/2</f>
      </c>
      <c r="C83" t="n" s="16">
        <v>2.0</v>
      </c>
      <c r="D83" s="16">
        <f>ABS($B$83-$C$83)</f>
      </c>
      <c r="E83" s="16">
        <f>IF(OR($H$83&gt;0,$I$83&gt;0),0,MAX(0,MIN(1,1-(MIN(1,IF($C$83&lt;=0,IF($B$83=0,0,1),$D$83/$C$83))*0.8)-(MIN(0.15,$F$83*0.05))+(IF(AND($G$83&gt;0,$F$83=0),MIN(0.05,$G$83*0.01),0)))))</f>
      </c>
      <c r="F83" s="18">
        <f>COUNTIFS($D$5:$D$76,$A$83,$M$5:$M$76,"EVITER")</f>
      </c>
      <c r="G83" s="18">
        <f>COUNTIFS($D$5:$D$76,$A$83,$M$5:$M$76,"PREFERE")</f>
      </c>
      <c r="H83" s="18">
        <f>COUNTIFS($D$5:$D$76,$A$83,$M$5:$M$76,"IMPOSSIBLE")</f>
      </c>
      <c r="I83" s="18">
        <f>SUMIF($A$120:$A$132,$A$83,$S$120:$S$132)</f>
      </c>
    </row>
    <row r="84">
      <c r="A84" t="s" s="15">
        <v>107</v>
      </c>
      <c r="B84" s="17">
        <f>COUNTIF($D$5:$D$76,$A$84)/2</f>
      </c>
      <c r="C84" t="n" s="17">
        <v>1.0</v>
      </c>
      <c r="D84" s="17">
        <f>ABS($B$84-$C$84)</f>
      </c>
      <c r="E84" s="17">
        <f>IF(OR($H$84&gt;0,$I$84&gt;0),0,MAX(0,MIN(1,1-(MIN(1,IF($C$84&lt;=0,IF($B$84=0,0,1),$D$84/$C$84))*0.8)-(MIN(0.15,$F$84*0.05))+(IF(AND($G$84&gt;0,$F$84=0),MIN(0.05,$G$84*0.01),0)))))</f>
      </c>
      <c r="F84" s="19">
        <f>COUNTIFS($D$5:$D$76,$A$84,$M$5:$M$76,"EVITER")</f>
      </c>
      <c r="G84" s="19">
        <f>COUNTIFS($D$5:$D$76,$A$84,$M$5:$M$76,"PREFERE")</f>
      </c>
      <c r="H84" s="19">
        <f>COUNTIFS($D$5:$D$76,$A$84,$M$5:$M$76,"IMPOSSIBLE")</f>
      </c>
      <c r="I84" s="19">
        <f>SUMIF($A$120:$A$132,$A$84,$S$120:$S$132)</f>
      </c>
    </row>
    <row r="85">
      <c r="A85" t="s" s="14">
        <v>122</v>
      </c>
      <c r="B85" s="16">
        <f>COUNTIF($D$5:$D$76,$A$85)/2</f>
      </c>
      <c r="C85" t="n" s="16">
        <v>4.0</v>
      </c>
      <c r="D85" s="16">
        <f>ABS($B$85-$C$85)</f>
      </c>
      <c r="E85" s="16">
        <f>IF(OR($H$85&gt;0,$I$85&gt;0),0,MAX(0,MIN(1,1-(MIN(1,IF($C$85&lt;=0,IF($B$85=0,0,1),$D$85/$C$85))*0.8)-(MIN(0.15,$F$85*0.05))+(IF(AND($G$85&gt;0,$F$85=0),MIN(0.05,$G$85*0.01),0)))))</f>
      </c>
      <c r="F85" s="18">
        <f>COUNTIFS($D$5:$D$76,$A$85,$M$5:$M$76,"EVITER")</f>
      </c>
      <c r="G85" s="18">
        <f>COUNTIFS($D$5:$D$76,$A$85,$M$5:$M$76,"PREFERE")</f>
      </c>
      <c r="H85" s="18">
        <f>COUNTIFS($D$5:$D$76,$A$85,$M$5:$M$76,"IMPOSSIBLE")</f>
      </c>
      <c r="I85" s="18">
        <f>SUMIF($A$120:$A$132,$A$85,$S$120:$S$132)</f>
      </c>
    </row>
    <row r="86">
      <c r="A86" t="s" s="15">
        <v>119</v>
      </c>
      <c r="B86" s="17">
        <f>COUNTIF($D$5:$D$76,$A$86)/2</f>
      </c>
      <c r="C86" t="n" s="17">
        <v>2.0</v>
      </c>
      <c r="D86" s="17">
        <f>ABS($B$86-$C$86)</f>
      </c>
      <c r="E86" s="17">
        <f>IF(OR($H$86&gt;0,$I$86&gt;0),0,MAX(0,MIN(1,1-(MIN(1,IF($C$86&lt;=0,IF($B$86=0,0,1),$D$86/$C$86))*0.8)-(MIN(0.15,$F$86*0.05))+(IF(AND($G$86&gt;0,$F$86=0),MIN(0.05,$G$86*0.01),0)))))</f>
      </c>
      <c r="F86" s="19">
        <f>COUNTIFS($D$5:$D$76,$A$86,$M$5:$M$76,"EVITER")</f>
      </c>
      <c r="G86" s="19">
        <f>COUNTIFS($D$5:$D$76,$A$86,$M$5:$M$76,"PREFERE")</f>
      </c>
      <c r="H86" s="19">
        <f>COUNTIFS($D$5:$D$76,$A$86,$M$5:$M$76,"IMPOSSIBLE")</f>
      </c>
      <c r="I86" s="19">
        <f>SUMIF($A$120:$A$132,$A$86,$S$120:$S$132)</f>
      </c>
    </row>
    <row r="87">
      <c r="A87" t="s" s="14">
        <v>120</v>
      </c>
      <c r="B87" s="16">
        <f>COUNTIF($D$5:$D$76,$A$87)/2</f>
      </c>
      <c r="C87" t="n" s="16">
        <v>2.0</v>
      </c>
      <c r="D87" s="16">
        <f>ABS($B$87-$C$87)</f>
      </c>
      <c r="E87" s="16">
        <f>IF(OR($H$87&gt;0,$I$87&gt;0),0,MAX(0,MIN(1,1-(MIN(1,IF($C$87&lt;=0,IF($B$87=0,0,1),$D$87/$C$87))*0.8)-(MIN(0.15,$F$87*0.05))+(IF(AND($G$87&gt;0,$F$87=0),MIN(0.05,$G$87*0.01),0)))))</f>
      </c>
      <c r="F87" s="18">
        <f>COUNTIFS($D$5:$D$76,$A$87,$M$5:$M$76,"EVITER")</f>
      </c>
      <c r="G87" s="18">
        <f>COUNTIFS($D$5:$D$76,$A$87,$M$5:$M$76,"PREFERE")</f>
      </c>
      <c r="H87" s="18">
        <f>COUNTIFS($D$5:$D$76,$A$87,$M$5:$M$76,"IMPOSSIBLE")</f>
      </c>
      <c r="I87" s="18">
        <f>SUMIF($A$120:$A$132,$A$87,$S$120:$S$132)</f>
      </c>
    </row>
    <row r="88">
      <c r="A88" t="s" s="15">
        <v>117</v>
      </c>
      <c r="B88" s="17">
        <f>COUNTIF($D$5:$D$76,$A$88)/2</f>
      </c>
      <c r="C88" t="n" s="17">
        <v>2.0</v>
      </c>
      <c r="D88" s="17">
        <f>ABS($B$88-$C$88)</f>
      </c>
      <c r="E88" s="17">
        <f>IF(OR($H$88&gt;0,$I$88&gt;0),0,MAX(0,MIN(1,1-(MIN(1,IF($C$88&lt;=0,IF($B$88=0,0,1),$D$88/$C$88))*0.8)-(MIN(0.15,$F$88*0.05))+(IF(AND($G$88&gt;0,$F$88=0),MIN(0.05,$G$88*0.01),0)))))</f>
      </c>
      <c r="F88" s="19">
        <f>COUNTIFS($D$5:$D$76,$A$88,$M$5:$M$76,"EVITER")</f>
      </c>
      <c r="G88" s="19">
        <f>COUNTIFS($D$5:$D$76,$A$88,$M$5:$M$76,"PREFERE")</f>
      </c>
      <c r="H88" s="19">
        <f>COUNTIFS($D$5:$D$76,$A$88,$M$5:$M$76,"IMPOSSIBLE")</f>
      </c>
      <c r="I88" s="19">
        <f>SUMIF($A$120:$A$132,$A$88,$S$120:$S$132)</f>
      </c>
    </row>
    <row r="89">
      <c r="A89" t="s" s="14">
        <v>112</v>
      </c>
      <c r="B89" s="16">
        <f>COUNTIF($D$5:$D$76,$A$89)/2</f>
      </c>
      <c r="C89" t="n" s="16">
        <v>4.0</v>
      </c>
      <c r="D89" s="16">
        <f>ABS($B$89-$C$89)</f>
      </c>
      <c r="E89" s="16">
        <f>IF(OR($H$89&gt;0,$I$89&gt;0),0,MAX(0,MIN(1,1-(MIN(1,IF($C$89&lt;=0,IF($B$89=0,0,1),$D$89/$C$89))*0.8)-(MIN(0.15,$F$89*0.05))+(IF(AND($G$89&gt;0,$F$89=0),MIN(0.05,$G$89*0.01),0)))))</f>
      </c>
      <c r="F89" s="18">
        <f>COUNTIFS($D$5:$D$76,$A$89,$M$5:$M$76,"EVITER")</f>
      </c>
      <c r="G89" s="18">
        <f>COUNTIFS($D$5:$D$76,$A$89,$M$5:$M$76,"PREFERE")</f>
      </c>
      <c r="H89" s="18">
        <f>COUNTIFS($D$5:$D$76,$A$89,$M$5:$M$76,"IMPOSSIBLE")</f>
      </c>
      <c r="I89" s="18">
        <f>SUMIF($A$120:$A$132,$A$89,$S$120:$S$132)</f>
      </c>
    </row>
    <row r="91" ht="15.0" customHeight="true">
      <c r="A91" t="s" s="11">
        <v>158</v>
      </c>
      <c r="B91" s="22">
        <f>MIN($E$79:$E$89)</f>
      </c>
    </row>
    <row r="92" ht="15.0" customHeight="true">
      <c r="A92" t="s" s="11">
        <v>159</v>
      </c>
      <c r="B92" s="22">
        <f>AVERAGE($E$79:$E$89)</f>
      </c>
    </row>
    <row r="93" ht="15.0" customHeight="true">
      <c r="A93" t="s" s="11">
        <v>160</v>
      </c>
      <c r="B93" s="22">
        <f>SUM($F$79:$F$89)</f>
      </c>
    </row>
    <row r="94" ht="15.0" customHeight="true">
      <c r="A94" t="s" s="11">
        <v>161</v>
      </c>
      <c r="B94" s="22">
        <f>SUM($G$79:$G$89)</f>
      </c>
    </row>
    <row r="95" ht="15.0" customHeight="true">
      <c r="A95" t="s" s="11">
        <v>162</v>
      </c>
      <c r="B95" s="22">
        <f>SUM($H$79:$H$89)</f>
      </c>
    </row>
    <row r="96" ht="15.0" customHeight="true">
      <c r="A96" t="s" s="11">
        <v>163</v>
      </c>
      <c r="B96" s="22">
        <f>SUM($I$79:$I$89)</f>
      </c>
    </row>
    <row r="97" ht="15.0" customHeight="true">
      <c r="A97" t="s" s="11">
        <v>164</v>
      </c>
      <c r="B97" s="22">
        <f>IF(SUM($I$79:$I$89)=0,"Oui","Non")</f>
      </c>
    </row>
    <row r="98" ht="15.0" customHeight="true">
      <c r="A98" t="s" s="11">
        <v>165</v>
      </c>
      <c r="B98" s="22">
        <f>COUNTIF($O$5:$O$76,"&gt;0")</f>
      </c>
    </row>
    <row r="99" ht="15.0" customHeight="true">
      <c r="A99" t="s" s="11">
        <v>166</v>
      </c>
      <c r="B99" s="22">
        <f>SUM($E$102:$E$117)</f>
      </c>
    </row>
    <row r="101">
      <c r="A101" t="s" s="13">
        <v>95</v>
      </c>
      <c r="B101" t="s" s="12">
        <v>138</v>
      </c>
      <c r="C101" t="s" s="12">
        <v>139</v>
      </c>
      <c r="D101" t="s" s="12">
        <v>140</v>
      </c>
      <c r="E101" t="s" s="12">
        <v>141</v>
      </c>
    </row>
    <row r="102">
      <c r="A102" t="s" s="23">
        <v>142</v>
      </c>
      <c r="B102" s="18">
        <f>COUNTIF($K$5:$K$76,"Paire|Lundi|Matin")</f>
      </c>
      <c r="C102" s="18">
        <f>SUMIF($K$5:$K$76,"Paire|Lundi|Matin",$L$5:$L$76)</f>
      </c>
      <c r="D102" s="18">
        <f>IF($C$102=0,0,ROUNDUP($C$102/6,0))</f>
      </c>
      <c r="E102" s="18">
        <f>MAX(0,$B$102-$D$102)</f>
      </c>
    </row>
    <row r="103">
      <c r="A103" t="s" s="23">
        <v>143</v>
      </c>
      <c r="B103" s="18">
        <f>COUNTIF($K$5:$K$76,"Paire|Lundi|Soir")</f>
      </c>
      <c r="C103" s="18">
        <f>SUMIF($K$5:$K$76,"Paire|Lundi|Soir",$L$5:$L$76)</f>
      </c>
      <c r="D103" s="18">
        <f>IF($C$103=0,0,ROUNDUP($C$103/6,0))</f>
      </c>
      <c r="E103" s="18">
        <f>MAX(0,$B$103-$D$103)</f>
      </c>
    </row>
    <row r="104">
      <c r="A104" t="s" s="23">
        <v>144</v>
      </c>
      <c r="B104" s="18">
        <f>COUNTIF($K$5:$K$76,"Paire|Mardi|Matin")</f>
      </c>
      <c r="C104" s="18">
        <f>SUMIF($K$5:$K$76,"Paire|Mardi|Matin",$L$5:$L$76)</f>
      </c>
      <c r="D104" s="18">
        <f>IF($C$104=0,0,ROUNDUP($C$104/6,0))</f>
      </c>
      <c r="E104" s="18">
        <f>MAX(0,$B$104-$D$104)</f>
      </c>
    </row>
    <row r="105">
      <c r="A105" t="s" s="23">
        <v>145</v>
      </c>
      <c r="B105" s="18">
        <f>COUNTIF($K$5:$K$76,"Paire|Mardi|Soir")</f>
      </c>
      <c r="C105" s="18">
        <f>SUMIF($K$5:$K$76,"Paire|Mardi|Soir",$L$5:$L$76)</f>
      </c>
      <c r="D105" s="18">
        <f>IF($C$105=0,0,ROUNDUP($C$105/6,0))</f>
      </c>
      <c r="E105" s="18">
        <f>MAX(0,$B$105-$D$105)</f>
      </c>
    </row>
    <row r="106">
      <c r="A106" t="s" s="23">
        <v>146</v>
      </c>
      <c r="B106" s="18">
        <f>COUNTIF($K$5:$K$76,"Paire|Jeudi|Matin")</f>
      </c>
      <c r="C106" s="18">
        <f>SUMIF($K$5:$K$76,"Paire|Jeudi|Matin",$L$5:$L$76)</f>
      </c>
      <c r="D106" s="18">
        <f>IF($C$106=0,0,ROUNDUP($C$106/6,0))</f>
      </c>
      <c r="E106" s="18">
        <f>MAX(0,$B$106-$D$106)</f>
      </c>
    </row>
    <row r="107">
      <c r="A107" t="s" s="23">
        <v>147</v>
      </c>
      <c r="B107" s="18">
        <f>COUNTIF($K$5:$K$76,"Paire|Jeudi|Soir")</f>
      </c>
      <c r="C107" s="18">
        <f>SUMIF($K$5:$K$76,"Paire|Jeudi|Soir",$L$5:$L$76)</f>
      </c>
      <c r="D107" s="18">
        <f>IF($C$107=0,0,ROUNDUP($C$107/6,0))</f>
      </c>
      <c r="E107" s="18">
        <f>MAX(0,$B$107-$D$107)</f>
      </c>
    </row>
    <row r="108">
      <c r="A108" t="s" s="23">
        <v>148</v>
      </c>
      <c r="B108" s="18">
        <f>COUNTIF($K$5:$K$76,"Paire|Vendredi|Matin")</f>
      </c>
      <c r="C108" s="18">
        <f>SUMIF($K$5:$K$76,"Paire|Vendredi|Matin",$L$5:$L$76)</f>
      </c>
      <c r="D108" s="18">
        <f>IF($C$108=0,0,ROUNDUP($C$108/6,0))</f>
      </c>
      <c r="E108" s="18">
        <f>MAX(0,$B$108-$D$108)</f>
      </c>
    </row>
    <row r="109">
      <c r="A109" t="s" s="23">
        <v>149</v>
      </c>
      <c r="B109" s="18">
        <f>COUNTIF($K$5:$K$76,"Paire|Vendredi|Soir")</f>
      </c>
      <c r="C109" s="18">
        <f>SUMIF($K$5:$K$76,"Paire|Vendredi|Soir",$L$5:$L$76)</f>
      </c>
      <c r="D109" s="18">
        <f>IF($C$109=0,0,ROUNDUP($C$109/6,0))</f>
      </c>
      <c r="E109" s="18">
        <f>MAX(0,$B$109-$D$109)</f>
      </c>
    </row>
    <row r="110">
      <c r="A110" t="s" s="23">
        <v>150</v>
      </c>
      <c r="B110" s="18">
        <f>COUNTIF($K$5:$K$76,"Impaire|Lundi|Matin")</f>
      </c>
      <c r="C110" s="18">
        <f>SUMIF($K$5:$K$76,"Impaire|Lundi|Matin",$L$5:$L$76)</f>
      </c>
      <c r="D110" s="18">
        <f>IF($C$110=0,0,ROUNDUP($C$110/6,0))</f>
      </c>
      <c r="E110" s="18">
        <f>MAX(0,$B$110-$D$110)</f>
      </c>
    </row>
    <row r="111">
      <c r="A111" t="s" s="23">
        <v>151</v>
      </c>
      <c r="B111" s="18">
        <f>COUNTIF($K$5:$K$76,"Impaire|Lundi|Soir")</f>
      </c>
      <c r="C111" s="18">
        <f>SUMIF($K$5:$K$76,"Impaire|Lundi|Soir",$L$5:$L$76)</f>
      </c>
      <c r="D111" s="18">
        <f>IF($C$111=0,0,ROUNDUP($C$111/6,0))</f>
      </c>
      <c r="E111" s="18">
        <f>MAX(0,$B$111-$D$111)</f>
      </c>
    </row>
    <row r="112">
      <c r="A112" t="s" s="23">
        <v>152</v>
      </c>
      <c r="B112" s="18">
        <f>COUNTIF($K$5:$K$76,"Impaire|Mardi|Matin")</f>
      </c>
      <c r="C112" s="18">
        <f>SUMIF($K$5:$K$76,"Impaire|Mardi|Matin",$L$5:$L$76)</f>
      </c>
      <c r="D112" s="18">
        <f>IF($C$112=0,0,ROUNDUP($C$112/6,0))</f>
      </c>
      <c r="E112" s="18">
        <f>MAX(0,$B$112-$D$112)</f>
      </c>
    </row>
    <row r="113">
      <c r="A113" t="s" s="23">
        <v>153</v>
      </c>
      <c r="B113" s="18">
        <f>COUNTIF($K$5:$K$76,"Impaire|Mardi|Soir")</f>
      </c>
      <c r="C113" s="18">
        <f>SUMIF($K$5:$K$76,"Impaire|Mardi|Soir",$L$5:$L$76)</f>
      </c>
      <c r="D113" s="18">
        <f>IF($C$113=0,0,ROUNDUP($C$113/6,0))</f>
      </c>
      <c r="E113" s="18">
        <f>MAX(0,$B$113-$D$113)</f>
      </c>
    </row>
    <row r="114">
      <c r="A114" t="s" s="23">
        <v>154</v>
      </c>
      <c r="B114" s="18">
        <f>COUNTIF($K$5:$K$76,"Impaire|Jeudi|Matin")</f>
      </c>
      <c r="C114" s="18">
        <f>SUMIF($K$5:$K$76,"Impaire|Jeudi|Matin",$L$5:$L$76)</f>
      </c>
      <c r="D114" s="18">
        <f>IF($C$114=0,0,ROUNDUP($C$114/6,0))</f>
      </c>
      <c r="E114" s="18">
        <f>MAX(0,$B$114-$D$114)</f>
      </c>
    </row>
    <row r="115">
      <c r="A115" t="s" s="23">
        <v>155</v>
      </c>
      <c r="B115" s="18">
        <f>COUNTIF($K$5:$K$76,"Impaire|Jeudi|Soir")</f>
      </c>
      <c r="C115" s="18">
        <f>SUMIF($K$5:$K$76,"Impaire|Jeudi|Soir",$L$5:$L$76)</f>
      </c>
      <c r="D115" s="18">
        <f>IF($C$115=0,0,ROUNDUP($C$115/6,0))</f>
      </c>
      <c r="E115" s="18">
        <f>MAX(0,$B$115-$D$115)</f>
      </c>
    </row>
    <row r="116">
      <c r="A116" t="s" s="23">
        <v>156</v>
      </c>
      <c r="B116" s="18">
        <f>COUNTIF($K$5:$K$76,"Impaire|Vendredi|Matin")</f>
      </c>
      <c r="C116" s="18">
        <f>SUMIF($K$5:$K$76,"Impaire|Vendredi|Matin",$L$5:$L$76)</f>
      </c>
      <c r="D116" s="18">
        <f>IF($C$116=0,0,ROUNDUP($C$116/6,0))</f>
      </c>
      <c r="E116" s="18">
        <f>MAX(0,$B$116-$D$116)</f>
      </c>
    </row>
    <row r="117">
      <c r="A117" t="s" s="23">
        <v>157</v>
      </c>
      <c r="B117" s="18">
        <f>COUNTIF($K$5:$K$76,"Impaire|Vendredi|Soir")</f>
      </c>
      <c r="C117" s="18">
        <f>SUMIF($K$5:$K$76,"Impaire|Vendredi|Soir",$L$5:$L$76)</f>
      </c>
      <c r="D117" s="18">
        <f>IF($C$117=0,0,ROUNDUP($C$117/6,0))</f>
      </c>
      <c r="E117" s="18">
        <f>MAX(0,$B$117-$D$117)</f>
      </c>
    </row>
    <row r="119" ht="16.0" customHeight="true">
      <c r="A119" t="s" s="9">
        <v>128</v>
      </c>
    </row>
    <row r="120">
      <c r="A120" t="s" s="23">
        <v>124</v>
      </c>
      <c r="B120" t="s" s="23">
        <v>124</v>
      </c>
      <c r="C120" t="n" s="23">
        <v>0.0</v>
      </c>
      <c r="D120" t="n" s="23">
        <v>0.0</v>
      </c>
      <c r="E120" t="n" s="23">
        <v>0.0</v>
      </c>
      <c r="F120" s="23">
        <f>IF(SUMPRODUCT(($K$5:$K$76="Paire|Mardi|Soir")*ISNUMBER(SEARCH(","&amp;$B$120&amp;",",$P$5:$P$76)))&gt;=1,0,1)</f>
      </c>
      <c r="G120" s="23">
        <f>IF(SUMPRODUCT(($K$5:$K$76="Paire|Jeudi|Matin")*ISNUMBER(SEARCH(","&amp;$B$120&amp;",",$P$5:$P$76)))&gt;=1,0,1)</f>
      </c>
      <c r="H120" s="23">
        <f>IF(SUMPRODUCT(($K$5:$K$76="Paire|Jeudi|Soir")*ISNUMBER(SEARCH(","&amp;$B$120&amp;",",$P$5:$P$76)))&gt;=1,0,1)</f>
      </c>
      <c r="I120" s="23">
        <f>IF(SUMPRODUCT(($K$5:$K$76="Paire|Vendredi|Matin")*ISNUMBER(SEARCH(","&amp;$B$120&amp;",",$P$5:$P$76)))&gt;=1,0,1)</f>
      </c>
      <c r="J120" s="23">
        <f>IF(SUMPRODUCT(($K$5:$K$76="Paire|Vendredi|Soir")*ISNUMBER(SEARCH(","&amp;$B$120&amp;",",$P$5:$P$76)))&gt;=1,0,1)</f>
      </c>
      <c r="K120" s="23">
        <f>IF(SUMPRODUCT(($K$5:$K$76="Impaire|Lundi|Matin")*ISNUMBER(SEARCH(","&amp;$B$120&amp;",",$P$5:$P$76)))&gt;=1,0,1)</f>
      </c>
      <c r="L120" s="23">
        <f>IF(SUMPRODUCT(($K$5:$K$76="Impaire|Lundi|Soir")*ISNUMBER(SEARCH(","&amp;$B$120&amp;",",$P$5:$P$76)))&gt;=1,0,1)</f>
      </c>
      <c r="M120" s="23">
        <f>IF(SUMPRODUCT(($K$5:$K$76="Impaire|Mardi|Matin")*ISNUMBER(SEARCH(","&amp;$B$120&amp;",",$P$5:$P$76)))&gt;=1,0,1)</f>
      </c>
      <c r="N120" t="n" s="23">
        <v>0.0</v>
      </c>
      <c r="O120" t="n" s="23">
        <v>0.0</v>
      </c>
      <c r="P120" t="n" s="23">
        <v>0.0</v>
      </c>
      <c r="Q120" t="n" s="23">
        <v>0.0</v>
      </c>
      <c r="R120" t="n" s="23">
        <v>0.0</v>
      </c>
      <c r="S120" s="23">
        <f>SUM($C$120:$R$120)</f>
      </c>
    </row>
    <row r="121">
      <c r="A121" t="s" s="23">
        <v>108</v>
      </c>
      <c r="B121" t="s" s="23">
        <v>108</v>
      </c>
      <c r="C121" s="23">
        <f>IF(SUMPRODUCT(($K$5:$K$76="Paire|Lundi|Matin")*ISNUMBER(SEARCH(","&amp;$B$121&amp;",",$P$5:$P$76)))&gt;=1,0,1)</f>
      </c>
      <c r="D121" s="23">
        <f>IF(SUMPRODUCT(($K$5:$K$76="Paire|Lundi|Soir")*ISNUMBER(SEARCH(","&amp;$B$121&amp;",",$P$5:$P$76)))&gt;=1,0,1)</f>
      </c>
      <c r="E121" s="23">
        <f>IF(SUMPRODUCT(($K$5:$K$76="Paire|Mardi|Matin")*ISNUMBER(SEARCH(","&amp;$B$121&amp;",",$P$5:$P$76)))&gt;=1,0,1)</f>
      </c>
      <c r="F121" s="23">
        <f>IF(SUMPRODUCT(($K$5:$K$76="Paire|Mardi|Soir")*ISNUMBER(SEARCH(","&amp;$B$121&amp;",",$P$5:$P$76)))&gt;=1,0,1)</f>
      </c>
      <c r="G121" s="23">
        <f>IF(SUMPRODUCT(($K$5:$K$76="Paire|Jeudi|Matin")*ISNUMBER(SEARCH(","&amp;$B$121&amp;",",$P$5:$P$76)))&gt;=1,0,1)</f>
      </c>
      <c r="H121" s="23">
        <f>IF(SUMPRODUCT(($K$5:$K$76="Paire|Jeudi|Soir")*ISNUMBER(SEARCH(","&amp;$B$121&amp;",",$P$5:$P$76)))&gt;=1,0,1)</f>
      </c>
      <c r="I121" s="23">
        <f>IF(SUMPRODUCT(($K$5:$K$76="Paire|Vendredi|Matin")*ISNUMBER(SEARCH(","&amp;$B$121&amp;",",$P$5:$P$76)))&gt;=1,0,1)</f>
      </c>
      <c r="J121" s="23">
        <f>IF(SUMPRODUCT(($K$5:$K$76="Paire|Vendredi|Soir")*ISNUMBER(SEARCH(","&amp;$B$121&amp;",",$P$5:$P$76)))&gt;=1,0,1)</f>
      </c>
      <c r="K121" s="23">
        <f>IF(SUMPRODUCT(($K$5:$K$76="Impaire|Lundi|Matin")*ISNUMBER(SEARCH(","&amp;$B$121&amp;",",$P$5:$P$76)))&gt;=1,0,1)</f>
      </c>
      <c r="L121" s="23">
        <f>IF(SUMPRODUCT(($K$5:$K$76="Impaire|Lundi|Soir")*ISNUMBER(SEARCH(","&amp;$B$121&amp;",",$P$5:$P$76)))&gt;=1,0,1)</f>
      </c>
      <c r="M121" s="23">
        <f>IF(SUMPRODUCT(($K$5:$K$76="Impaire|Mardi|Matin")*ISNUMBER(SEARCH(","&amp;$B$121&amp;",",$P$5:$P$76)))&gt;=1,0,1)</f>
      </c>
      <c r="N121" s="23">
        <f>IF(SUMPRODUCT(($K$5:$K$76="Impaire|Mardi|Soir")*ISNUMBER(SEARCH(","&amp;$B$121&amp;",",$P$5:$P$76)))&gt;=1,0,1)</f>
      </c>
      <c r="O121" s="23">
        <f>IF(SUMPRODUCT(($K$5:$K$76="Impaire|Jeudi|Matin")*ISNUMBER(SEARCH(","&amp;$B$121&amp;",",$P$5:$P$76)))&gt;=1,0,1)</f>
      </c>
      <c r="P121" s="23">
        <f>IF(SUMPRODUCT(($K$5:$K$76="Impaire|Jeudi|Soir")*ISNUMBER(SEARCH(","&amp;$B$121&amp;",",$P$5:$P$76)))&gt;=1,0,1)</f>
      </c>
      <c r="Q121" s="23">
        <f>IF(SUMPRODUCT(($K$5:$K$76="Impaire|Vendredi|Matin")*ISNUMBER(SEARCH(","&amp;$B$121&amp;",",$P$5:$P$76)))&gt;=1,0,1)</f>
      </c>
      <c r="R121" s="23">
        <f>IF(SUMPRODUCT(($K$5:$K$76="Impaire|Vendredi|Soir")*ISNUMBER(SEARCH(","&amp;$B$121&amp;",",$P$5:$P$76)))&gt;=1,0,1)</f>
      </c>
      <c r="S121" s="23">
        <f>SUM($C$121:$R$121)</f>
      </c>
    </row>
    <row r="122">
      <c r="A122" t="s" s="23">
        <v>109</v>
      </c>
      <c r="B122" t="s" s="23">
        <v>109</v>
      </c>
      <c r="C122" s="23">
        <f>IF(SUMPRODUCT(($K$5:$K$76="Paire|Lundi|Matin")*ISNUMBER(SEARCH(","&amp;$B$122&amp;",",$P$5:$P$76)))&gt;=1,0,1)</f>
      </c>
      <c r="D122" s="23">
        <f>IF(SUMPRODUCT(($K$5:$K$76="Paire|Lundi|Soir")*ISNUMBER(SEARCH(","&amp;$B$122&amp;",",$P$5:$P$76)))&gt;=1,0,1)</f>
      </c>
      <c r="E122" s="23">
        <f>IF(SUMPRODUCT(($K$5:$K$76="Paire|Mardi|Matin")*ISNUMBER(SEARCH(","&amp;$B$122&amp;",",$P$5:$P$76)))&gt;=1,0,1)</f>
      </c>
      <c r="F122" s="23">
        <f>IF(SUMPRODUCT(($K$5:$K$76="Paire|Mardi|Soir")*ISNUMBER(SEARCH(","&amp;$B$122&amp;",",$P$5:$P$76)))&gt;=1,0,1)</f>
      </c>
      <c r="G122" s="23">
        <f>IF(SUMPRODUCT(($K$5:$K$76="Paire|Jeudi|Matin")*ISNUMBER(SEARCH(","&amp;$B$122&amp;",",$P$5:$P$76)))&gt;=1,0,1)</f>
      </c>
      <c r="H122" s="23">
        <f>IF(SUMPRODUCT(($K$5:$K$76="Paire|Jeudi|Soir")*ISNUMBER(SEARCH(","&amp;$B$122&amp;",",$P$5:$P$76)))&gt;=1,0,1)</f>
      </c>
      <c r="I122" s="23">
        <f>IF(SUMPRODUCT(($K$5:$K$76="Paire|Vendredi|Matin")*ISNUMBER(SEARCH(","&amp;$B$122&amp;",",$P$5:$P$76)))&gt;=1,0,1)</f>
      </c>
      <c r="J122" s="23">
        <f>IF(SUMPRODUCT(($K$5:$K$76="Paire|Vendredi|Soir")*ISNUMBER(SEARCH(","&amp;$B$122&amp;",",$P$5:$P$76)))&gt;=1,0,1)</f>
      </c>
      <c r="K122" s="23">
        <f>IF(SUMPRODUCT(($K$5:$K$76="Impaire|Lundi|Matin")*ISNUMBER(SEARCH(","&amp;$B$122&amp;",",$P$5:$P$76)))&gt;=1,0,1)</f>
      </c>
      <c r="L122" s="23">
        <f>IF(SUMPRODUCT(($K$5:$K$76="Impaire|Lundi|Soir")*ISNUMBER(SEARCH(","&amp;$B$122&amp;",",$P$5:$P$76)))&gt;=1,0,1)</f>
      </c>
      <c r="M122" s="23">
        <f>IF(SUMPRODUCT(($K$5:$K$76="Impaire|Mardi|Matin")*ISNUMBER(SEARCH(","&amp;$B$122&amp;",",$P$5:$P$76)))&gt;=1,0,1)</f>
      </c>
      <c r="N122" s="23">
        <f>IF(SUMPRODUCT(($K$5:$K$76="Impaire|Mardi|Soir")*ISNUMBER(SEARCH(","&amp;$B$122&amp;",",$P$5:$P$76)))&gt;=1,0,1)</f>
      </c>
      <c r="O122" s="23">
        <f>IF(SUMPRODUCT(($K$5:$K$76="Impaire|Jeudi|Matin")*ISNUMBER(SEARCH(","&amp;$B$122&amp;",",$P$5:$P$76)))&gt;=1,0,1)</f>
      </c>
      <c r="P122" s="23">
        <f>IF(SUMPRODUCT(($K$5:$K$76="Impaire|Jeudi|Soir")*ISNUMBER(SEARCH(","&amp;$B$122&amp;",",$P$5:$P$76)))&gt;=1,0,1)</f>
      </c>
      <c r="Q122" s="23">
        <f>IF(SUMPRODUCT(($K$5:$K$76="Impaire|Vendredi|Matin")*ISNUMBER(SEARCH(","&amp;$B$122&amp;",",$P$5:$P$76)))&gt;=1,0,1)</f>
      </c>
      <c r="R122" s="23">
        <f>IF(SUMPRODUCT(($K$5:$K$76="Impaire|Vendredi|Soir")*ISNUMBER(SEARCH(","&amp;$B$122&amp;",",$P$5:$P$76)))&gt;=1,0,1)</f>
      </c>
      <c r="S122" s="23">
        <f>SUM($C$122:$R$122)</f>
      </c>
    </row>
    <row r="123">
      <c r="A123" t="s" s="23">
        <v>110</v>
      </c>
      <c r="B123" t="s" s="23">
        <v>110</v>
      </c>
      <c r="C123" s="23">
        <f>IF(SUMPRODUCT(($K$5:$K$76="Paire|Lundi|Matin")*ISNUMBER(SEARCH(","&amp;$B$123&amp;",",$P$5:$P$76)))&gt;=1,0,1)</f>
      </c>
      <c r="D123" s="23">
        <f>IF(SUMPRODUCT(($K$5:$K$76="Paire|Lundi|Soir")*ISNUMBER(SEARCH(","&amp;$B$123&amp;",",$P$5:$P$76)))&gt;=1,0,1)</f>
      </c>
      <c r="E123" s="23">
        <f>IF(SUMPRODUCT(($K$5:$K$76="Paire|Mardi|Matin")*ISNUMBER(SEARCH(","&amp;$B$123&amp;",",$P$5:$P$76)))&gt;=1,0,1)</f>
      </c>
      <c r="F123" s="23">
        <f>IF(SUMPRODUCT(($K$5:$K$76="Paire|Mardi|Soir")*ISNUMBER(SEARCH(","&amp;$B$123&amp;",",$P$5:$P$76)))&gt;=1,0,1)</f>
      </c>
      <c r="G123" s="23">
        <f>IF(SUMPRODUCT(($K$5:$K$76="Paire|Jeudi|Matin")*ISNUMBER(SEARCH(","&amp;$B$123&amp;",",$P$5:$P$76)))&gt;=1,0,1)</f>
      </c>
      <c r="H123" s="23">
        <f>IF(SUMPRODUCT(($K$5:$K$76="Paire|Jeudi|Soir")*ISNUMBER(SEARCH(","&amp;$B$123&amp;",",$P$5:$P$76)))&gt;=1,0,1)</f>
      </c>
      <c r="I123" s="23">
        <f>IF(SUMPRODUCT(($K$5:$K$76="Paire|Vendredi|Matin")*ISNUMBER(SEARCH(","&amp;$B$123&amp;",",$P$5:$P$76)))&gt;=1,0,1)</f>
      </c>
      <c r="J123" s="23">
        <f>IF(SUMPRODUCT(($K$5:$K$76="Paire|Vendredi|Soir")*ISNUMBER(SEARCH(","&amp;$B$123&amp;",",$P$5:$P$76)))&gt;=1,0,1)</f>
      </c>
      <c r="K123" s="23">
        <f>IF(SUMPRODUCT(($K$5:$K$76="Impaire|Lundi|Matin")*ISNUMBER(SEARCH(","&amp;$B$123&amp;",",$P$5:$P$76)))&gt;=1,0,1)</f>
      </c>
      <c r="L123" s="23">
        <f>IF(SUMPRODUCT(($K$5:$K$76="Impaire|Lundi|Soir")*ISNUMBER(SEARCH(","&amp;$B$123&amp;",",$P$5:$P$76)))&gt;=1,0,1)</f>
      </c>
      <c r="M123" s="23">
        <f>IF(SUMPRODUCT(($K$5:$K$76="Impaire|Mardi|Matin")*ISNUMBER(SEARCH(","&amp;$B$123&amp;",",$P$5:$P$76)))&gt;=1,0,1)</f>
      </c>
      <c r="N123" s="23">
        <f>IF(SUMPRODUCT(($K$5:$K$76="Impaire|Mardi|Soir")*ISNUMBER(SEARCH(","&amp;$B$123&amp;",",$P$5:$P$76)))&gt;=1,0,1)</f>
      </c>
      <c r="O123" s="23">
        <f>IF(SUMPRODUCT(($K$5:$K$76="Impaire|Jeudi|Matin")*ISNUMBER(SEARCH(","&amp;$B$123&amp;",",$P$5:$P$76)))&gt;=1,0,1)</f>
      </c>
      <c r="P123" s="23">
        <f>IF(SUMPRODUCT(($K$5:$K$76="Impaire|Jeudi|Soir")*ISNUMBER(SEARCH(","&amp;$B$123&amp;",",$P$5:$P$76)))&gt;=1,0,1)</f>
      </c>
      <c r="Q123" s="23">
        <f>IF(SUMPRODUCT(($K$5:$K$76="Impaire|Vendredi|Matin")*ISNUMBER(SEARCH(","&amp;$B$123&amp;",",$P$5:$P$76)))&gt;=1,0,1)</f>
      </c>
      <c r="R123" s="23">
        <f>IF(SUMPRODUCT(($K$5:$K$76="Impaire|Vendredi|Soir")*ISNUMBER(SEARCH(","&amp;$B$123&amp;",",$P$5:$P$76)))&gt;=1,0,1)</f>
      </c>
      <c r="S123" s="23">
        <f>SUM($C$123:$R$123)</f>
      </c>
    </row>
    <row r="124">
      <c r="A124" t="s" s="23">
        <v>115</v>
      </c>
      <c r="B124" t="s" s="23">
        <v>115</v>
      </c>
      <c r="C124" s="23">
        <f>IF(SUMPRODUCT(($K$5:$K$76="Paire|Lundi|Matin")*ISNUMBER(SEARCH(","&amp;$B$124&amp;",",$P$5:$P$76)))&gt;=1,0,1)</f>
      </c>
      <c r="D124" s="23">
        <f>IF(SUMPRODUCT(($K$5:$K$76="Paire|Lundi|Soir")*ISNUMBER(SEARCH(","&amp;$B$124&amp;",",$P$5:$P$76)))&gt;=1,0,1)</f>
      </c>
      <c r="E124" s="23">
        <f>IF(SUMPRODUCT(($K$5:$K$76="Paire|Mardi|Matin")*ISNUMBER(SEARCH(","&amp;$B$124&amp;",",$P$5:$P$76)))&gt;=1,0,1)</f>
      </c>
      <c r="F124" s="23">
        <f>IF(SUMPRODUCT(($K$5:$K$76="Paire|Mardi|Soir")*ISNUMBER(SEARCH(","&amp;$B$124&amp;",",$P$5:$P$76)))&gt;=1,0,1)</f>
      </c>
      <c r="G124" s="23">
        <f>IF(SUMPRODUCT(($K$5:$K$76="Paire|Jeudi|Matin")*ISNUMBER(SEARCH(","&amp;$B$124&amp;",",$P$5:$P$76)))&gt;=1,0,1)</f>
      </c>
      <c r="H124" s="23">
        <f>IF(SUMPRODUCT(($K$5:$K$76="Paire|Jeudi|Soir")*ISNUMBER(SEARCH(","&amp;$B$124&amp;",",$P$5:$P$76)))&gt;=1,0,1)</f>
      </c>
      <c r="I124" s="23">
        <f>IF(SUMPRODUCT(($K$5:$K$76="Paire|Vendredi|Matin")*ISNUMBER(SEARCH(","&amp;$B$124&amp;",",$P$5:$P$76)))&gt;=1,0,1)</f>
      </c>
      <c r="J124" s="23">
        <f>IF(SUMPRODUCT(($K$5:$K$76="Paire|Vendredi|Soir")*ISNUMBER(SEARCH(","&amp;$B$124&amp;",",$P$5:$P$76)))&gt;=1,0,1)</f>
      </c>
      <c r="K124" s="23">
        <f>IF(SUMPRODUCT(($K$5:$K$76="Impaire|Lundi|Matin")*ISNUMBER(SEARCH(","&amp;$B$124&amp;",",$P$5:$P$76)))&gt;=1,0,1)</f>
      </c>
      <c r="L124" s="23">
        <f>IF(SUMPRODUCT(($K$5:$K$76="Impaire|Lundi|Soir")*ISNUMBER(SEARCH(","&amp;$B$124&amp;",",$P$5:$P$76)))&gt;=1,0,1)</f>
      </c>
      <c r="M124" s="23">
        <f>IF(SUMPRODUCT(($K$5:$K$76="Impaire|Mardi|Matin")*ISNUMBER(SEARCH(","&amp;$B$124&amp;",",$P$5:$P$76)))&gt;=1,0,1)</f>
      </c>
      <c r="N124" s="23">
        <f>IF(SUMPRODUCT(($K$5:$K$76="Impaire|Mardi|Soir")*ISNUMBER(SEARCH(","&amp;$B$124&amp;",",$P$5:$P$76)))&gt;=1,0,1)</f>
      </c>
      <c r="O124" s="23">
        <f>IF(SUMPRODUCT(($K$5:$K$76="Impaire|Jeudi|Matin")*ISNUMBER(SEARCH(","&amp;$B$124&amp;",",$P$5:$P$76)))&gt;=1,0,1)</f>
      </c>
      <c r="P124" s="23">
        <f>IF(SUMPRODUCT(($K$5:$K$76="Impaire|Jeudi|Soir")*ISNUMBER(SEARCH(","&amp;$B$124&amp;",",$P$5:$P$76)))&gt;=1,0,1)</f>
      </c>
      <c r="Q124" s="23">
        <f>IF(SUMPRODUCT(($K$5:$K$76="Impaire|Vendredi|Matin")*ISNUMBER(SEARCH(","&amp;$B$124&amp;",",$P$5:$P$76)))&gt;=1,0,1)</f>
      </c>
      <c r="R124" s="23">
        <f>IF(SUMPRODUCT(($K$5:$K$76="Impaire|Vendredi|Soir")*ISNUMBER(SEARCH(","&amp;$B$124&amp;",",$P$5:$P$76)))&gt;=1,0,1)</f>
      </c>
      <c r="S124" s="23">
        <f>SUM($C$124:$R$124)</f>
      </c>
    </row>
    <row r="125">
      <c r="A125" t="s" s="23">
        <v>107</v>
      </c>
      <c r="B125" t="s" s="23">
        <v>107</v>
      </c>
      <c r="C125" s="23">
        <f>IF(SUMPRODUCT(($K$5:$K$76="Paire|Lundi|Matin")*ISNUMBER(SEARCH(","&amp;$B$125&amp;",",$P$5:$P$76)))&gt;=1,0,1)</f>
      </c>
      <c r="D125" t="n" s="23">
        <v>0.0</v>
      </c>
      <c r="E125" t="n" s="23">
        <v>0.0</v>
      </c>
      <c r="F125" t="n" s="23">
        <v>0.0</v>
      </c>
      <c r="G125" t="n" s="23">
        <v>0.0</v>
      </c>
      <c r="H125" t="n" s="23">
        <v>0.0</v>
      </c>
      <c r="I125" t="n" s="23">
        <v>0.0</v>
      </c>
      <c r="J125" t="n" s="23">
        <v>0.0</v>
      </c>
      <c r="K125" t="n" s="23">
        <v>0.0</v>
      </c>
      <c r="L125" s="23">
        <f>IF(SUMPRODUCT(($K$5:$K$76="Impaire|Lundi|Soir")*ISNUMBER(SEARCH(","&amp;$B$125&amp;",",$P$5:$P$76)))&gt;=1,0,1)</f>
      </c>
      <c r="M125" s="23">
        <f>IF(SUMPRODUCT(($K$5:$K$76="Impaire|Mardi|Matin")*ISNUMBER(SEARCH(","&amp;$B$125&amp;",",$P$5:$P$76)))&gt;=1,0,1)</f>
      </c>
      <c r="N125" s="23">
        <f>IF(SUMPRODUCT(($K$5:$K$76="Impaire|Mardi|Soir")*ISNUMBER(SEARCH(","&amp;$B$125&amp;",",$P$5:$P$76)))&gt;=1,0,1)</f>
      </c>
      <c r="O125" s="23">
        <f>IF(SUMPRODUCT(($K$5:$K$76="Impaire|Jeudi|Matin")*ISNUMBER(SEARCH(","&amp;$B$125&amp;",",$P$5:$P$76)))&gt;=1,0,1)</f>
      </c>
      <c r="P125" s="23">
        <f>IF(SUMPRODUCT(($K$5:$K$76="Impaire|Jeudi|Soir")*ISNUMBER(SEARCH(","&amp;$B$125&amp;",",$P$5:$P$76)))&gt;=1,0,1)</f>
      </c>
      <c r="Q125" s="23">
        <f>IF(SUMPRODUCT(($K$5:$K$76="Impaire|Vendredi|Matin")*ISNUMBER(SEARCH(","&amp;$B$125&amp;",",$P$5:$P$76)))&gt;=1,0,1)</f>
      </c>
      <c r="R125" s="23">
        <f>IF(SUMPRODUCT(($K$5:$K$76="Impaire|Vendredi|Soir")*ISNUMBER(SEARCH(","&amp;$B$125&amp;",",$P$5:$P$76)))&gt;=1,0,1)</f>
      </c>
      <c r="S125" s="23">
        <f>SUM($C$125:$R$125)</f>
      </c>
    </row>
    <row r="126">
      <c r="A126" t="s" s="23">
        <v>122</v>
      </c>
      <c r="B126" t="s" s="23">
        <v>116</v>
      </c>
      <c r="C126" s="23">
        <f>IF(SUMPRODUCT(($K$5:$K$76="Paire|Lundi|Matin")*ISNUMBER(SEARCH(","&amp;$B$126&amp;",",$P$5:$P$76)))&gt;=1,0,1)</f>
      </c>
      <c r="D126" s="23">
        <f>IF(SUMPRODUCT(($K$5:$K$76="Paire|Lundi|Soir")*ISNUMBER(SEARCH(","&amp;$B$126&amp;",",$P$5:$P$76)))&gt;=1,0,1)</f>
      </c>
      <c r="E126" s="23">
        <f>IF(SUMPRODUCT(($K$5:$K$76="Paire|Mardi|Matin")*ISNUMBER(SEARCH(","&amp;$B$126&amp;",",$P$5:$P$76)))&gt;=1,0,1)</f>
      </c>
      <c r="F126" s="23">
        <f>IF(SUMPRODUCT(($K$5:$K$76="Paire|Mardi|Soir")*ISNUMBER(SEARCH(","&amp;$B$126&amp;",",$P$5:$P$76)))&gt;=1,0,1)</f>
      </c>
      <c r="G126" s="23">
        <f>IF(SUMPRODUCT(($K$5:$K$76="Paire|Jeudi|Matin")*ISNUMBER(SEARCH(","&amp;$B$126&amp;",",$P$5:$P$76)))&gt;=1,0,1)</f>
      </c>
      <c r="H126" s="23">
        <f>IF(SUMPRODUCT(($K$5:$K$76="Paire|Jeudi|Soir")*ISNUMBER(SEARCH(","&amp;$B$126&amp;",",$P$5:$P$76)))&gt;=1,0,1)</f>
      </c>
      <c r="I126" s="23">
        <f>IF(SUMPRODUCT(($K$5:$K$76="Paire|Vendredi|Matin")*ISNUMBER(SEARCH(","&amp;$B$126&amp;",",$P$5:$P$76)))&gt;=1,0,1)</f>
      </c>
      <c r="J126" s="23">
        <f>IF(SUMPRODUCT(($K$5:$K$76="Paire|Vendredi|Soir")*ISNUMBER(SEARCH(","&amp;$B$126&amp;",",$P$5:$P$76)))&gt;=1,0,1)</f>
      </c>
      <c r="K126" s="23">
        <f>IF(SUMPRODUCT(($K$5:$K$76="Impaire|Lundi|Matin")*ISNUMBER(SEARCH(","&amp;$B$126&amp;",",$P$5:$P$76)))&gt;=1,0,1)</f>
      </c>
      <c r="L126" s="23">
        <f>IF(SUMPRODUCT(($K$5:$K$76="Impaire|Lundi|Soir")*ISNUMBER(SEARCH(","&amp;$B$126&amp;",",$P$5:$P$76)))&gt;=1,0,1)</f>
      </c>
      <c r="M126" s="23">
        <f>IF(SUMPRODUCT(($K$5:$K$76="Impaire|Mardi|Matin")*ISNUMBER(SEARCH(","&amp;$B$126&amp;",",$P$5:$P$76)))&gt;=1,0,1)</f>
      </c>
      <c r="N126" s="23">
        <f>IF(SUMPRODUCT(($K$5:$K$76="Impaire|Mardi|Soir")*ISNUMBER(SEARCH(","&amp;$B$126&amp;",",$P$5:$P$76)))&gt;=1,0,1)</f>
      </c>
      <c r="O126" s="23">
        <f>IF(SUMPRODUCT(($K$5:$K$76="Impaire|Jeudi|Matin")*ISNUMBER(SEARCH(","&amp;$B$126&amp;",",$P$5:$P$76)))&gt;=1,0,1)</f>
      </c>
      <c r="P126" s="23">
        <f>IF(SUMPRODUCT(($K$5:$K$76="Impaire|Jeudi|Soir")*ISNUMBER(SEARCH(","&amp;$B$126&amp;",",$P$5:$P$76)))&gt;=1,0,1)</f>
      </c>
      <c r="Q126" s="23">
        <f>IF(SUMPRODUCT(($K$5:$K$76="Impaire|Vendredi|Matin")*ISNUMBER(SEARCH(","&amp;$B$126&amp;",",$P$5:$P$76)))&gt;=1,0,1)</f>
      </c>
      <c r="R126" s="23">
        <f>IF(SUMPRODUCT(($K$5:$K$76="Impaire|Vendredi|Soir")*ISNUMBER(SEARCH(","&amp;$B$126&amp;",",$P$5:$P$76)))&gt;=1,0,1)</f>
      </c>
      <c r="S126" s="23">
        <f>SUM($C$126:$R$126)</f>
      </c>
    </row>
    <row r="127">
      <c r="A127" t="s" s="23">
        <v>122</v>
      </c>
      <c r="B127" t="s" s="23">
        <v>118</v>
      </c>
      <c r="C127" s="23">
        <f>IF(SUMPRODUCT(($K$5:$K$76="Paire|Lundi|Matin")*ISNUMBER(SEARCH(","&amp;$B$127&amp;",",$P$5:$P$76)))&gt;=1,0,1)</f>
      </c>
      <c r="D127" s="23">
        <f>IF(SUMPRODUCT(($K$5:$K$76="Paire|Lundi|Soir")*ISNUMBER(SEARCH(","&amp;$B$127&amp;",",$P$5:$P$76)))&gt;=1,0,1)</f>
      </c>
      <c r="E127" s="23">
        <f>IF(SUMPRODUCT(($K$5:$K$76="Paire|Mardi|Matin")*ISNUMBER(SEARCH(","&amp;$B$127&amp;",",$P$5:$P$76)))&gt;=1,0,1)</f>
      </c>
      <c r="F127" s="23">
        <f>IF(SUMPRODUCT(($K$5:$K$76="Paire|Mardi|Soir")*ISNUMBER(SEARCH(","&amp;$B$127&amp;",",$P$5:$P$76)))&gt;=1,0,1)</f>
      </c>
      <c r="G127" s="23">
        <f>IF(SUMPRODUCT(($K$5:$K$76="Paire|Jeudi|Matin")*ISNUMBER(SEARCH(","&amp;$B$127&amp;",",$P$5:$P$76)))&gt;=1,0,1)</f>
      </c>
      <c r="H127" s="23">
        <f>IF(SUMPRODUCT(($K$5:$K$76="Paire|Jeudi|Soir")*ISNUMBER(SEARCH(","&amp;$B$127&amp;",",$P$5:$P$76)))&gt;=1,0,1)</f>
      </c>
      <c r="I127" s="23">
        <f>IF(SUMPRODUCT(($K$5:$K$76="Paire|Vendredi|Matin")*ISNUMBER(SEARCH(","&amp;$B$127&amp;",",$P$5:$P$76)))&gt;=1,0,1)</f>
      </c>
      <c r="J127" s="23">
        <f>IF(SUMPRODUCT(($K$5:$K$76="Paire|Vendredi|Soir")*ISNUMBER(SEARCH(","&amp;$B$127&amp;",",$P$5:$P$76)))&gt;=1,0,1)</f>
      </c>
      <c r="K127" s="23">
        <f>IF(SUMPRODUCT(($K$5:$K$76="Impaire|Lundi|Matin")*ISNUMBER(SEARCH(","&amp;$B$127&amp;",",$P$5:$P$76)))&gt;=1,0,1)</f>
      </c>
      <c r="L127" s="23">
        <f>IF(SUMPRODUCT(($K$5:$K$76="Impaire|Lundi|Soir")*ISNUMBER(SEARCH(","&amp;$B$127&amp;",",$P$5:$P$76)))&gt;=1,0,1)</f>
      </c>
      <c r="M127" s="23">
        <f>IF(SUMPRODUCT(($K$5:$K$76="Impaire|Mardi|Matin")*ISNUMBER(SEARCH(","&amp;$B$127&amp;",",$P$5:$P$76)))&gt;=1,0,1)</f>
      </c>
      <c r="N127" s="23">
        <f>IF(SUMPRODUCT(($K$5:$K$76="Impaire|Mardi|Soir")*ISNUMBER(SEARCH(","&amp;$B$127&amp;",",$P$5:$P$76)))&gt;=1,0,1)</f>
      </c>
      <c r="O127" s="23">
        <f>IF(SUMPRODUCT(($K$5:$K$76="Impaire|Jeudi|Matin")*ISNUMBER(SEARCH(","&amp;$B$127&amp;",",$P$5:$P$76)))&gt;=1,0,1)</f>
      </c>
      <c r="P127" s="23">
        <f>IF(SUMPRODUCT(($K$5:$K$76="Impaire|Jeudi|Soir")*ISNUMBER(SEARCH(","&amp;$B$127&amp;",",$P$5:$P$76)))&gt;=1,0,1)</f>
      </c>
      <c r="Q127" s="23">
        <f>IF(SUMPRODUCT(($K$5:$K$76="Impaire|Vendredi|Matin")*ISNUMBER(SEARCH(","&amp;$B$127&amp;",",$P$5:$P$76)))&gt;=1,0,1)</f>
      </c>
      <c r="R127" s="23">
        <f>IF(SUMPRODUCT(($K$5:$K$76="Impaire|Vendredi|Soir")*ISNUMBER(SEARCH(","&amp;$B$127&amp;",",$P$5:$P$76)))&gt;=1,0,1)</f>
      </c>
      <c r="S127" s="23">
        <f>SUM($C$127:$R$127)</f>
      </c>
    </row>
    <row r="128">
      <c r="A128" t="s" s="23">
        <v>119</v>
      </c>
      <c r="B128" t="s" s="23">
        <v>119</v>
      </c>
      <c r="C128" s="23">
        <f>IF(SUMPRODUCT(($K$5:$K$76="Paire|Lundi|Matin")*ISNUMBER(SEARCH(","&amp;$B$128&amp;",",$P$5:$P$76)))&gt;=1,0,1)</f>
      </c>
      <c r="D128" s="23">
        <f>IF(SUMPRODUCT(($K$5:$K$76="Paire|Lundi|Soir")*ISNUMBER(SEARCH(","&amp;$B$128&amp;",",$P$5:$P$76)))&gt;=1,0,1)</f>
      </c>
      <c r="E128" s="23">
        <f>IF(SUMPRODUCT(($K$5:$K$76="Paire|Mardi|Matin")*ISNUMBER(SEARCH(","&amp;$B$128&amp;",",$P$5:$P$76)))&gt;=1,0,1)</f>
      </c>
      <c r="F128" s="23">
        <f>IF(SUMPRODUCT(($K$5:$K$76="Paire|Mardi|Soir")*ISNUMBER(SEARCH(","&amp;$B$128&amp;",",$P$5:$P$76)))&gt;=1,0,1)</f>
      </c>
      <c r="G128" s="23">
        <f>IF(SUMPRODUCT(($K$5:$K$76="Paire|Jeudi|Matin")*ISNUMBER(SEARCH(","&amp;$B$128&amp;",",$P$5:$P$76)))&gt;=1,0,1)</f>
      </c>
      <c r="H128" s="23">
        <f>IF(SUMPRODUCT(($K$5:$K$76="Paire|Jeudi|Soir")*ISNUMBER(SEARCH(","&amp;$B$128&amp;",",$P$5:$P$76)))&gt;=1,0,1)</f>
      </c>
      <c r="I128" s="23">
        <f>IF(SUMPRODUCT(($K$5:$K$76="Paire|Vendredi|Matin")*ISNUMBER(SEARCH(","&amp;$B$128&amp;",",$P$5:$P$76)))&gt;=1,0,1)</f>
      </c>
      <c r="J128" s="23">
        <f>IF(SUMPRODUCT(($K$5:$K$76="Paire|Vendredi|Soir")*ISNUMBER(SEARCH(","&amp;$B$128&amp;",",$P$5:$P$76)))&gt;=1,0,1)</f>
      </c>
      <c r="K128" s="23">
        <f>IF(SUMPRODUCT(($K$5:$K$76="Impaire|Lundi|Matin")*ISNUMBER(SEARCH(","&amp;$B$128&amp;",",$P$5:$P$76)))&gt;=1,0,1)</f>
      </c>
      <c r="L128" s="23">
        <f>IF(SUMPRODUCT(($K$5:$K$76="Impaire|Lundi|Soir")*ISNUMBER(SEARCH(","&amp;$B$128&amp;",",$P$5:$P$76)))&gt;=1,0,1)</f>
      </c>
      <c r="M128" s="23">
        <f>IF(SUMPRODUCT(($K$5:$K$76="Impaire|Mardi|Matin")*ISNUMBER(SEARCH(","&amp;$B$128&amp;",",$P$5:$P$76)))&gt;=1,0,1)</f>
      </c>
      <c r="N128" s="23">
        <f>IF(SUMPRODUCT(($K$5:$K$76="Impaire|Mardi|Soir")*ISNUMBER(SEARCH(","&amp;$B$128&amp;",",$P$5:$P$76)))&gt;=1,0,1)</f>
      </c>
      <c r="O128" s="23">
        <f>IF(SUMPRODUCT(($K$5:$K$76="Impaire|Jeudi|Matin")*ISNUMBER(SEARCH(","&amp;$B$128&amp;",",$P$5:$P$76)))&gt;=1,0,1)</f>
      </c>
      <c r="P128" s="23">
        <f>IF(SUMPRODUCT(($K$5:$K$76="Impaire|Jeudi|Soir")*ISNUMBER(SEARCH(","&amp;$B$128&amp;",",$P$5:$P$76)))&gt;=1,0,1)</f>
      </c>
      <c r="Q128" s="23">
        <f>IF(SUMPRODUCT(($K$5:$K$76="Impaire|Vendredi|Matin")*ISNUMBER(SEARCH(","&amp;$B$128&amp;",",$P$5:$P$76)))&gt;=1,0,1)</f>
      </c>
      <c r="R128" s="23">
        <f>IF(SUMPRODUCT(($K$5:$K$76="Impaire|Vendredi|Soir")*ISNUMBER(SEARCH(","&amp;$B$128&amp;",",$P$5:$P$76)))&gt;=1,0,1)</f>
      </c>
      <c r="S128" s="23">
        <f>SUM($C$128:$R$128)</f>
      </c>
    </row>
    <row r="129">
      <c r="A129" t="s" s="23">
        <v>120</v>
      </c>
      <c r="B129" t="s" s="23">
        <v>120</v>
      </c>
      <c r="C129" s="23">
        <f>IF(SUMPRODUCT(($K$5:$K$76="Paire|Lundi|Matin")*ISNUMBER(SEARCH(","&amp;$B$129&amp;",",$P$5:$P$76)))&gt;=1,0,1)</f>
      </c>
      <c r="D129" s="23">
        <f>IF(SUMPRODUCT(($K$5:$K$76="Paire|Lundi|Soir")*ISNUMBER(SEARCH(","&amp;$B$129&amp;",",$P$5:$P$76)))&gt;=1,0,1)</f>
      </c>
      <c r="E129" s="23">
        <f>IF(SUMPRODUCT(($K$5:$K$76="Paire|Mardi|Matin")*ISNUMBER(SEARCH(","&amp;$B$129&amp;",",$P$5:$P$76)))&gt;=1,0,1)</f>
      </c>
      <c r="F129" s="23">
        <f>IF(SUMPRODUCT(($K$5:$K$76="Paire|Mardi|Soir")*ISNUMBER(SEARCH(","&amp;$B$129&amp;",",$P$5:$P$76)))&gt;=1,0,1)</f>
      </c>
      <c r="G129" s="23">
        <f>IF(SUMPRODUCT(($K$5:$K$76="Paire|Jeudi|Matin")*ISNUMBER(SEARCH(","&amp;$B$129&amp;",",$P$5:$P$76)))&gt;=1,0,1)</f>
      </c>
      <c r="H129" s="23">
        <f>IF(SUMPRODUCT(($K$5:$K$76="Paire|Jeudi|Soir")*ISNUMBER(SEARCH(","&amp;$B$129&amp;",",$P$5:$P$76)))&gt;=1,0,1)</f>
      </c>
      <c r="I129" s="23">
        <f>IF(SUMPRODUCT(($K$5:$K$76="Paire|Vendredi|Matin")*ISNUMBER(SEARCH(","&amp;$B$129&amp;",",$P$5:$P$76)))&gt;=1,0,1)</f>
      </c>
      <c r="J129" s="23">
        <f>IF(SUMPRODUCT(($K$5:$K$76="Paire|Vendredi|Soir")*ISNUMBER(SEARCH(","&amp;$B$129&amp;",",$P$5:$P$76)))&gt;=1,0,1)</f>
      </c>
      <c r="K129" s="23">
        <f>IF(SUMPRODUCT(($K$5:$K$76="Impaire|Lundi|Matin")*ISNUMBER(SEARCH(","&amp;$B$129&amp;",",$P$5:$P$76)))&gt;=1,0,1)</f>
      </c>
      <c r="L129" s="23">
        <f>IF(SUMPRODUCT(($K$5:$K$76="Impaire|Lundi|Soir")*ISNUMBER(SEARCH(","&amp;$B$129&amp;",",$P$5:$P$76)))&gt;=1,0,1)</f>
      </c>
      <c r="M129" s="23">
        <f>IF(SUMPRODUCT(($K$5:$K$76="Impaire|Mardi|Matin")*ISNUMBER(SEARCH(","&amp;$B$129&amp;",",$P$5:$P$76)))&gt;=1,0,1)</f>
      </c>
      <c r="N129" s="23">
        <f>IF(SUMPRODUCT(($K$5:$K$76="Impaire|Mardi|Soir")*ISNUMBER(SEARCH(","&amp;$B$129&amp;",",$P$5:$P$76)))&gt;=1,0,1)</f>
      </c>
      <c r="O129" s="23">
        <f>IF(SUMPRODUCT(($K$5:$K$76="Impaire|Jeudi|Matin")*ISNUMBER(SEARCH(","&amp;$B$129&amp;",",$P$5:$P$76)))&gt;=1,0,1)</f>
      </c>
      <c r="P129" s="23">
        <f>IF(SUMPRODUCT(($K$5:$K$76="Impaire|Jeudi|Soir")*ISNUMBER(SEARCH(","&amp;$B$129&amp;",",$P$5:$P$76)))&gt;=1,0,1)</f>
      </c>
      <c r="Q129" s="23">
        <f>IF(SUMPRODUCT(($K$5:$K$76="Impaire|Vendredi|Matin")*ISNUMBER(SEARCH(","&amp;$B$129&amp;",",$P$5:$P$76)))&gt;=1,0,1)</f>
      </c>
      <c r="R129" s="23">
        <f>IF(SUMPRODUCT(($K$5:$K$76="Impaire|Vendredi|Soir")*ISNUMBER(SEARCH(","&amp;$B$129&amp;",",$P$5:$P$76)))&gt;=1,0,1)</f>
      </c>
      <c r="S129" s="23">
        <f>SUM($C$129:$R$129)</f>
      </c>
    </row>
    <row r="130">
      <c r="A130" t="s" s="23">
        <v>117</v>
      </c>
      <c r="B130" t="s" s="23">
        <v>117</v>
      </c>
      <c r="C130" s="23">
        <f>IF(SUMPRODUCT(($K$5:$K$76="Paire|Lundi|Matin")*ISNUMBER(SEARCH(","&amp;$B$130&amp;",",$P$5:$P$76)))&gt;=1,0,1)</f>
      </c>
      <c r="D130" s="23">
        <f>IF(SUMPRODUCT(($K$5:$K$76="Paire|Lundi|Soir")*ISNUMBER(SEARCH(","&amp;$B$130&amp;",",$P$5:$P$76)))&gt;=1,0,1)</f>
      </c>
      <c r="E130" s="23">
        <f>IF(SUMPRODUCT(($K$5:$K$76="Paire|Mardi|Matin")*ISNUMBER(SEARCH(","&amp;$B$130&amp;",",$P$5:$P$76)))&gt;=1,0,1)</f>
      </c>
      <c r="F130" s="23">
        <f>IF(SUMPRODUCT(($K$5:$K$76="Paire|Mardi|Soir")*ISNUMBER(SEARCH(","&amp;$B$130&amp;",",$P$5:$P$76)))&gt;=1,0,1)</f>
      </c>
      <c r="G130" s="23">
        <f>IF(SUMPRODUCT(($K$5:$K$76="Paire|Jeudi|Matin")*ISNUMBER(SEARCH(","&amp;$B$130&amp;",",$P$5:$P$76)))&gt;=1,0,1)</f>
      </c>
      <c r="H130" s="23">
        <f>IF(SUMPRODUCT(($K$5:$K$76="Paire|Jeudi|Soir")*ISNUMBER(SEARCH(","&amp;$B$130&amp;",",$P$5:$P$76)))&gt;=1,0,1)</f>
      </c>
      <c r="I130" s="23">
        <f>IF(SUMPRODUCT(($K$5:$K$76="Paire|Vendredi|Matin")*ISNUMBER(SEARCH(","&amp;$B$130&amp;",",$P$5:$P$76)))&gt;=1,0,1)</f>
      </c>
      <c r="J130" s="23">
        <f>IF(SUMPRODUCT(($K$5:$K$76="Paire|Vendredi|Soir")*ISNUMBER(SEARCH(","&amp;$B$130&amp;",",$P$5:$P$76)))&gt;=1,0,1)</f>
      </c>
      <c r="K130" s="23">
        <f>IF(SUMPRODUCT(($K$5:$K$76="Impaire|Lundi|Matin")*ISNUMBER(SEARCH(","&amp;$B$130&amp;",",$P$5:$P$76)))&gt;=1,0,1)</f>
      </c>
      <c r="L130" s="23">
        <f>IF(SUMPRODUCT(($K$5:$K$76="Impaire|Lundi|Soir")*ISNUMBER(SEARCH(","&amp;$B$130&amp;",",$P$5:$P$76)))&gt;=1,0,1)</f>
      </c>
      <c r="M130" s="23">
        <f>IF(SUMPRODUCT(($K$5:$K$76="Impaire|Mardi|Matin")*ISNUMBER(SEARCH(","&amp;$B$130&amp;",",$P$5:$P$76)))&gt;=1,0,1)</f>
      </c>
      <c r="N130" s="23">
        <f>IF(SUMPRODUCT(($K$5:$K$76="Impaire|Mardi|Soir")*ISNUMBER(SEARCH(","&amp;$B$130&amp;",",$P$5:$P$76)))&gt;=1,0,1)</f>
      </c>
      <c r="O130" s="23">
        <f>IF(SUMPRODUCT(($K$5:$K$76="Impaire|Jeudi|Matin")*ISNUMBER(SEARCH(","&amp;$B$130&amp;",",$P$5:$P$76)))&gt;=1,0,1)</f>
      </c>
      <c r="P130" s="23">
        <f>IF(SUMPRODUCT(($K$5:$K$76="Impaire|Jeudi|Soir")*ISNUMBER(SEARCH(","&amp;$B$130&amp;",",$P$5:$P$76)))&gt;=1,0,1)</f>
      </c>
      <c r="Q130" s="23">
        <f>IF(SUMPRODUCT(($K$5:$K$76="Impaire|Vendredi|Matin")*ISNUMBER(SEARCH(","&amp;$B$130&amp;",",$P$5:$P$76)))&gt;=1,0,1)</f>
      </c>
      <c r="R130" s="23">
        <f>IF(SUMPRODUCT(($K$5:$K$76="Impaire|Vendredi|Soir")*ISNUMBER(SEARCH(","&amp;$B$130&amp;",",$P$5:$P$76)))&gt;=1,0,1)</f>
      </c>
      <c r="S130" s="23">
        <f>SUM($C$130:$R$130)</f>
      </c>
    </row>
    <row r="131">
      <c r="A131" t="s" s="23">
        <v>112</v>
      </c>
      <c r="B131" t="s" s="23">
        <v>113</v>
      </c>
      <c r="C131" s="23">
        <f>IF(SUMPRODUCT(($K$5:$K$76="Paire|Lundi|Matin")*ISNUMBER(SEARCH(","&amp;$B$131&amp;",",$P$5:$P$76)))&gt;=1,0,1)</f>
      </c>
      <c r="D131" s="23">
        <f>IF(SUMPRODUCT(($K$5:$K$76="Paire|Lundi|Soir")*ISNUMBER(SEARCH(","&amp;$B$131&amp;",",$P$5:$P$76)))&gt;=1,0,1)</f>
      </c>
      <c r="E131" s="23">
        <f>IF(SUMPRODUCT(($K$5:$K$76="Paire|Mardi|Matin")*ISNUMBER(SEARCH(","&amp;$B$131&amp;",",$P$5:$P$76)))&gt;=1,0,1)</f>
      </c>
      <c r="F131" s="23">
        <f>IF(SUMPRODUCT(($K$5:$K$76="Paire|Mardi|Soir")*ISNUMBER(SEARCH(","&amp;$B$131&amp;",",$P$5:$P$76)))&gt;=1,0,1)</f>
      </c>
      <c r="G131" s="23">
        <f>IF(SUMPRODUCT(($K$5:$K$76="Paire|Jeudi|Matin")*ISNUMBER(SEARCH(","&amp;$B$131&amp;",",$P$5:$P$76)))&gt;=1,0,1)</f>
      </c>
      <c r="H131" s="23">
        <f>IF(SUMPRODUCT(($K$5:$K$76="Paire|Jeudi|Soir")*ISNUMBER(SEARCH(","&amp;$B$131&amp;",",$P$5:$P$76)))&gt;=1,0,1)</f>
      </c>
      <c r="I131" s="23">
        <f>IF(SUMPRODUCT(($K$5:$K$76="Paire|Vendredi|Matin")*ISNUMBER(SEARCH(","&amp;$B$131&amp;",",$P$5:$P$76)))&gt;=1,0,1)</f>
      </c>
      <c r="J131" s="23">
        <f>IF(SUMPRODUCT(($K$5:$K$76="Paire|Vendredi|Soir")*ISNUMBER(SEARCH(","&amp;$B$131&amp;",",$P$5:$P$76)))&gt;=1,0,1)</f>
      </c>
      <c r="K131" s="23">
        <f>IF(SUMPRODUCT(($K$5:$K$76="Impaire|Lundi|Matin")*ISNUMBER(SEARCH(","&amp;$B$131&amp;",",$P$5:$P$76)))&gt;=1,0,1)</f>
      </c>
      <c r="L131" s="23">
        <f>IF(SUMPRODUCT(($K$5:$K$76="Impaire|Lundi|Soir")*ISNUMBER(SEARCH(","&amp;$B$131&amp;",",$P$5:$P$76)))&gt;=1,0,1)</f>
      </c>
      <c r="M131" s="23">
        <f>IF(SUMPRODUCT(($K$5:$K$76="Impaire|Mardi|Matin")*ISNUMBER(SEARCH(","&amp;$B$131&amp;",",$P$5:$P$76)))&gt;=1,0,1)</f>
      </c>
      <c r="N131" s="23">
        <f>IF(SUMPRODUCT(($K$5:$K$76="Impaire|Mardi|Soir")*ISNUMBER(SEARCH(","&amp;$B$131&amp;",",$P$5:$P$76)))&gt;=1,0,1)</f>
      </c>
      <c r="O131" s="23">
        <f>IF(SUMPRODUCT(($K$5:$K$76="Impaire|Jeudi|Matin")*ISNUMBER(SEARCH(","&amp;$B$131&amp;",",$P$5:$P$76)))&gt;=1,0,1)</f>
      </c>
      <c r="P131" s="23">
        <f>IF(SUMPRODUCT(($K$5:$K$76="Impaire|Jeudi|Soir")*ISNUMBER(SEARCH(","&amp;$B$131&amp;",",$P$5:$P$76)))&gt;=1,0,1)</f>
      </c>
      <c r="Q131" s="23">
        <f>IF(SUMPRODUCT(($K$5:$K$76="Impaire|Vendredi|Matin")*ISNUMBER(SEARCH(","&amp;$B$131&amp;",",$P$5:$P$76)))&gt;=1,0,1)</f>
      </c>
      <c r="R131" s="23">
        <f>IF(SUMPRODUCT(($K$5:$K$76="Impaire|Vendredi|Soir")*ISNUMBER(SEARCH(","&amp;$B$131&amp;",",$P$5:$P$76)))&gt;=1,0,1)</f>
      </c>
      <c r="S131" s="23">
        <f>SUM($C$131:$R$131)</f>
      </c>
    </row>
    <row r="132">
      <c r="A132" t="s" s="23">
        <v>112</v>
      </c>
      <c r="B132" t="s" s="23">
        <v>114</v>
      </c>
      <c r="C132" s="23">
        <f>IF(SUMPRODUCT(($K$5:$K$76="Paire|Lundi|Matin")*ISNUMBER(SEARCH(","&amp;$B$132&amp;",",$P$5:$P$76)))&gt;=1,0,1)</f>
      </c>
      <c r="D132" s="23">
        <f>IF(SUMPRODUCT(($K$5:$K$76="Paire|Lundi|Soir")*ISNUMBER(SEARCH(","&amp;$B$132&amp;",",$P$5:$P$76)))&gt;=1,0,1)</f>
      </c>
      <c r="E132" s="23">
        <f>IF(SUMPRODUCT(($K$5:$K$76="Paire|Mardi|Matin")*ISNUMBER(SEARCH(","&amp;$B$132&amp;",",$P$5:$P$76)))&gt;=1,0,1)</f>
      </c>
      <c r="F132" s="23">
        <f>IF(SUMPRODUCT(($K$5:$K$76="Paire|Mardi|Soir")*ISNUMBER(SEARCH(","&amp;$B$132&amp;",",$P$5:$P$76)))&gt;=1,0,1)</f>
      </c>
      <c r="G132" s="23">
        <f>IF(SUMPRODUCT(($K$5:$K$76="Paire|Jeudi|Matin")*ISNUMBER(SEARCH(","&amp;$B$132&amp;",",$P$5:$P$76)))&gt;=1,0,1)</f>
      </c>
      <c r="H132" s="23">
        <f>IF(SUMPRODUCT(($K$5:$K$76="Paire|Jeudi|Soir")*ISNUMBER(SEARCH(","&amp;$B$132&amp;",",$P$5:$P$76)))&gt;=1,0,1)</f>
      </c>
      <c r="I132" s="23">
        <f>IF(SUMPRODUCT(($K$5:$K$76="Paire|Vendredi|Matin")*ISNUMBER(SEARCH(","&amp;$B$132&amp;",",$P$5:$P$76)))&gt;=1,0,1)</f>
      </c>
      <c r="J132" s="23">
        <f>IF(SUMPRODUCT(($K$5:$K$76="Paire|Vendredi|Soir")*ISNUMBER(SEARCH(","&amp;$B$132&amp;",",$P$5:$P$76)))&gt;=1,0,1)</f>
      </c>
      <c r="K132" s="23">
        <f>IF(SUMPRODUCT(($K$5:$K$76="Impaire|Lundi|Matin")*ISNUMBER(SEARCH(","&amp;$B$132&amp;",",$P$5:$P$76)))&gt;=1,0,1)</f>
      </c>
      <c r="L132" s="23">
        <f>IF(SUMPRODUCT(($K$5:$K$76="Impaire|Lundi|Soir")*ISNUMBER(SEARCH(","&amp;$B$132&amp;",",$P$5:$P$76)))&gt;=1,0,1)</f>
      </c>
      <c r="M132" s="23">
        <f>IF(SUMPRODUCT(($K$5:$K$76="Impaire|Mardi|Matin")*ISNUMBER(SEARCH(","&amp;$B$132&amp;",",$P$5:$P$76)))&gt;=1,0,1)</f>
      </c>
      <c r="N132" s="23">
        <f>IF(SUMPRODUCT(($K$5:$K$76="Impaire|Mardi|Soir")*ISNUMBER(SEARCH(","&amp;$B$132&amp;",",$P$5:$P$76)))&gt;=1,0,1)</f>
      </c>
      <c r="O132" s="23">
        <f>IF(SUMPRODUCT(($K$5:$K$76="Impaire|Jeudi|Matin")*ISNUMBER(SEARCH(","&amp;$B$132&amp;",",$P$5:$P$76)))&gt;=1,0,1)</f>
      </c>
      <c r="P132" s="23">
        <f>IF(SUMPRODUCT(($K$5:$K$76="Impaire|Jeudi|Soir")*ISNUMBER(SEARCH(","&amp;$B$132&amp;",",$P$5:$P$76)))&gt;=1,0,1)</f>
      </c>
      <c r="Q132" s="23">
        <f>IF(SUMPRODUCT(($K$5:$K$76="Impaire|Vendredi|Matin")*ISNUMBER(SEARCH(","&amp;$B$132&amp;",",$P$5:$P$76)))&gt;=1,0,1)</f>
      </c>
      <c r="R132" s="23">
        <f>IF(SUMPRODUCT(($K$5:$K$76="Impaire|Vendredi|Soir")*ISNUMBER(SEARCH(","&amp;$B$132&amp;",",$P$5:$P$76)))&gt;=1,0,1)</f>
      </c>
      <c r="S132" s="23">
        <f>SUM($C$132:$R$132)</f>
      </c>
    </row>
    <row r="134" ht="16.0" customHeight="true">
      <c r="A134" t="s" s="9">
        <v>167</v>
      </c>
    </row>
    <row r="135">
      <c r="A135" t="s" s="12">
        <v>111</v>
      </c>
      <c r="B135" t="s" s="12">
        <v>105</v>
      </c>
      <c r="C135" t="s" s="12">
        <v>123</v>
      </c>
      <c r="D135" t="s" s="12">
        <v>125</v>
      </c>
      <c r="E135" t="s" s="12">
        <v>126</v>
      </c>
    </row>
    <row r="136" ht="56.0" customHeight="true">
      <c r="A136" t="s" s="24">
        <v>106</v>
      </c>
      <c r="B136" s="25">
        <f t="array" ref="B136">TEXTJOIN(CHAR(10),TRUE,IF($K$5:$K$76="Paire|Lundi|Matin",$D$5:$D$76&amp;" ("&amp;SUBSTITUTE(MID($P$5:$P$76,2,LEN($P$5:$P$76)-2),",",", ")&amp;")",""))</f>
      </c>
      <c r="C136" s="25">
        <f t="array" ref="C136">TEXTJOIN(CHAR(10),TRUE,IF($K$5:$K$76="Paire|Mardi|Matin",$D$5:$D$76&amp;" ("&amp;SUBSTITUTE(MID($P$5:$P$76,2,LEN($P$5:$P$76)-2),",",", ")&amp;")",""))</f>
      </c>
      <c r="D136" s="25">
        <f t="array" ref="D136">TEXTJOIN(CHAR(10),TRUE,IF($K$5:$K$76="Paire|Jeudi|Matin",$D$5:$D$76&amp;" ("&amp;SUBSTITUTE(MID($P$5:$P$76,2,LEN($P$5:$P$76)-2),",",", ")&amp;")",""))</f>
      </c>
      <c r="E136" s="25">
        <f t="array" ref="E136">TEXTJOIN(CHAR(10),TRUE,IF($K$5:$K$76="Paire|Vendredi|Matin",$D$5:$D$76&amp;" ("&amp;SUBSTITUTE(MID($P$5:$P$76,2,LEN($P$5:$P$76)-2),",",", ")&amp;")",""))</f>
      </c>
    </row>
    <row r="137" ht="56.0" customHeight="true">
      <c r="A137" t="s" s="24">
        <v>121</v>
      </c>
      <c r="B137" s="25">
        <f t="array" ref="B137">TEXTJOIN(CHAR(10),TRUE,IF($K$5:$K$76="Paire|Lundi|Soir",$D$5:$D$76&amp;" ("&amp;SUBSTITUTE(MID($P$5:$P$76,2,LEN($P$5:$P$76)-2),",",", ")&amp;")",""))</f>
      </c>
      <c r="C137" s="25">
        <f t="array" ref="C137">TEXTJOIN(CHAR(10),TRUE,IF($K$5:$K$76="Paire|Mardi|Soir",$D$5:$D$76&amp;" ("&amp;SUBSTITUTE(MID($P$5:$P$76,2,LEN($P$5:$P$76)-2),",",", ")&amp;")",""))</f>
      </c>
      <c r="D137" s="25">
        <f t="array" ref="D137">TEXTJOIN(CHAR(10),TRUE,IF($K$5:$K$76="Paire|Jeudi|Soir",$D$5:$D$76&amp;" ("&amp;SUBSTITUTE(MID($P$5:$P$76,2,LEN($P$5:$P$76)-2),",",", ")&amp;")",""))</f>
      </c>
      <c r="E137" s="25">
        <f t="array" ref="E137">TEXTJOIN(CHAR(10),TRUE,IF($K$5:$K$76="Paire|Vendredi|Soir",$D$5:$D$76&amp;" ("&amp;SUBSTITUTE(MID($P$5:$P$76,2,LEN($P$5:$P$76)-2),",",", ")&amp;")",""))</f>
      </c>
    </row>
    <row r="139" ht="16.0" customHeight="true">
      <c r="A139" t="s" s="9">
        <v>168</v>
      </c>
    </row>
    <row r="140">
      <c r="A140" t="s" s="12">
        <v>111</v>
      </c>
      <c r="B140" t="s" s="12">
        <v>105</v>
      </c>
      <c r="C140" t="s" s="12">
        <v>123</v>
      </c>
      <c r="D140" t="s" s="12">
        <v>125</v>
      </c>
      <c r="E140" t="s" s="12">
        <v>126</v>
      </c>
    </row>
    <row r="141" ht="56.0" customHeight="true">
      <c r="A141" t="s" s="24">
        <v>106</v>
      </c>
      <c r="B141" s="25">
        <f t="array" ref="B141">TEXTJOIN(CHAR(10),TRUE,IF($K$5:$K$76="Impaire|Lundi|Matin",$D$5:$D$76&amp;" ("&amp;SUBSTITUTE(MID($P$5:$P$76,2,LEN($P$5:$P$76)-2),",",", ")&amp;")",""))</f>
      </c>
      <c r="C141" s="25">
        <f t="array" ref="C141">TEXTJOIN(CHAR(10),TRUE,IF($K$5:$K$76="Impaire|Mardi|Matin",$D$5:$D$76&amp;" ("&amp;SUBSTITUTE(MID($P$5:$P$76,2,LEN($P$5:$P$76)-2),",",", ")&amp;")",""))</f>
      </c>
      <c r="D141" s="25">
        <f t="array" ref="D141">TEXTJOIN(CHAR(10),TRUE,IF($K$5:$K$76="Impaire|Jeudi|Matin",$D$5:$D$76&amp;" ("&amp;SUBSTITUTE(MID($P$5:$P$76,2,LEN($P$5:$P$76)-2),",",", ")&amp;")",""))</f>
      </c>
      <c r="E141" s="25">
        <f t="array" ref="E141">TEXTJOIN(CHAR(10),TRUE,IF($K$5:$K$76="Impaire|Vendredi|Matin",$D$5:$D$76&amp;" ("&amp;SUBSTITUTE(MID($P$5:$P$76,2,LEN($P$5:$P$76)-2),",",", ")&amp;")",""))</f>
      </c>
    </row>
    <row r="142" ht="56.0" customHeight="true">
      <c r="A142" t="s" s="24">
        <v>121</v>
      </c>
      <c r="B142" s="25">
        <f t="array" ref="B142">TEXTJOIN(CHAR(10),TRUE,IF($K$5:$K$76="Impaire|Lundi|Soir",$D$5:$D$76&amp;" ("&amp;SUBSTITUTE(MID($P$5:$P$76,2,LEN($P$5:$P$76)-2),",",", ")&amp;")",""))</f>
      </c>
      <c r="C142" s="25">
        <f t="array" ref="C142">TEXTJOIN(CHAR(10),TRUE,IF($K$5:$K$76="Impaire|Mardi|Soir",$D$5:$D$76&amp;" ("&amp;SUBSTITUTE(MID($P$5:$P$76,2,LEN($P$5:$P$76)-2),",",", ")&amp;")",""))</f>
      </c>
      <c r="D142" s="25">
        <f t="array" ref="D142">TEXTJOIN(CHAR(10),TRUE,IF($K$5:$K$76="Impaire|Jeudi|Soir",$D$5:$D$76&amp;" ("&amp;SUBSTITUTE(MID($P$5:$P$76,2,LEN($P$5:$P$76)-2),",",", ")&amp;")",""))</f>
      </c>
      <c r="E142" s="25">
        <f t="array" ref="E142">TEXTJOIN(CHAR(10),TRUE,IF($K$5:$K$76="Impaire|Vendredi|Soir",$D$5:$D$76&amp;" ("&amp;SUBSTITUTE(MID($P$5:$P$76,2,LEN($P$5:$P$76)-2),",",", ")&amp;")",""))</f>
      </c>
    </row>
  </sheetData>
  <mergeCells count="5">
    <mergeCell ref="A1:J1"/>
    <mergeCell ref="A2:J2"/>
    <mergeCell ref="A119:J119"/>
    <mergeCell ref="A134:J134"/>
    <mergeCell ref="A139:J139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2026-06-20T17:54:23Z</dcterms:created>
  <dc:creator>Apache POI</dc:creator>
  <dc:language>fr-FR</dc:language>
  <dcterms:modified xsi:type="dcterms:W3CDTF">2026-06-20T20:37:56Z</dcterms:modified>
  <cp:revision>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