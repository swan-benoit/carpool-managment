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ME" sheetId="1" state="visible" r:id="rId3"/>
    <sheet name="Index" sheetId="2" state="visible" r:id="rId4"/>
    <sheet name="Famille - Anna" sheetId="3" state="visible" r:id="rId5"/>
    <sheet name="Famille - Issa" sheetId="4" state="visible" r:id="rId6"/>
    <sheet name="Famille - Eneour" sheetId="5" state="visible" r:id="rId7"/>
    <sheet name="Famille - Luce" sheetId="6" state="visible" r:id="rId8"/>
    <sheet name="Famille - Mélanie" sheetId="7" state="visible" r:id="rId9"/>
    <sheet name="Famille - Marceau" sheetId="8" state="visible" r:id="rId10"/>
    <sheet name="Famille - Mael et Mathéo" sheetId="9" state="visible" r:id="rId11"/>
    <sheet name="Famille - Marin" sheetId="10" state="visible" r:id="rId12"/>
    <sheet name="Famille - Orion" sheetId="11" state="visible" r:id="rId13"/>
    <sheet name="Famille - Eliott" sheetId="12" state="visible" r:id="rId14"/>
    <sheet name="Famille - Côme et Rose" sheetId="13" state="visible" r:id="rId15"/>
    <sheet name="#1" r:id="rId17" sheetId="14"/>
    <sheet name="#2" r:id="rId18" sheetId="15"/>
    <sheet name="#3" r:id="rId19" sheetId="16"/>
    <sheet name="#4" r:id="rId20" sheetId="17"/>
    <sheet name="#5" r:id="rId21" sheetId="18"/>
    <sheet name="#6" r:id="rId22" sheetId="19"/>
    <sheet name="#7" r:id="rId23" sheetId="20"/>
    <sheet name="#8" r:id="rId24" sheetId="21"/>
    <sheet name="#9" r:id="rId25" sheetId="22"/>
    <sheet name="#10" r:id="rId26" sheetId="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<sst xmlns="http://schemas.openxmlformats.org/spreadsheetml/2006/main" count="10292" uniqueCount="179">
  <si>
    <t xml:space="preserve">Template de saisie covoiturage</t>
  </si>
  <si>
    <t xml:space="preserve">Ce fichier est un support de saisie. Les formules metier restent calculees en Java.</t>
  </si>
  <si>
    <t xml:space="preserve">Un onglet famille represente un groupe d'enfants. Les parents separes ne creent pas plusieurs familles.</t>
  </si>
  <si>
    <t xml:space="preserve">Les grilles de saisie sont la source de verite pour la normalisation et le calcul.</t>
  </si>
  <si>
    <t xml:space="preserve">Preferences famille: IMPOSSIBLE, EVITER, OK, PREFERE.</t>
  </si>
  <si>
    <t xml:space="preserve">Absences enfants: PRESENT, ABSENT.</t>
  </si>
  <si>
    <t xml:space="preserve">Les champs informatifs peuvent rester libres. Ils ne sont pas utilises par les metriques initiales.</t>
  </si>
  <si>
    <t xml:space="preserve">Nom famille</t>
  </si>
  <si>
    <t xml:space="preserve">Nom onglet</t>
  </si>
  <si>
    <t xml:space="preserve">Capacite voiture</t>
  </si>
  <si>
    <t xml:space="preserve">Nombre d'enfants</t>
  </si>
  <si>
    <t xml:space="preserve">Anna</t>
  </si>
  <si>
    <t xml:space="preserve">Famille - Anna</t>
  </si>
  <si>
    <t xml:space="preserve">Issa</t>
  </si>
  <si>
    <t xml:space="preserve">Famille - Issa</t>
  </si>
  <si>
    <t xml:space="preserve">Eneour</t>
  </si>
  <si>
    <t xml:space="preserve">Famille - Eneour</t>
  </si>
  <si>
    <t xml:space="preserve">Luce</t>
  </si>
  <si>
    <t xml:space="preserve">Famille - Luce</t>
  </si>
  <si>
    <t xml:space="preserve">Mélanie</t>
  </si>
  <si>
    <t xml:space="preserve">Famille - Mélanie</t>
  </si>
  <si>
    <t xml:space="preserve">Marceau</t>
  </si>
  <si>
    <t xml:space="preserve">Famille - Marceau</t>
  </si>
  <si>
    <t xml:space="preserve">Mael et Mathéo</t>
  </si>
  <si>
    <t xml:space="preserve">Famille - Mael et Mathéo</t>
  </si>
  <si>
    <t xml:space="preserve">Marin</t>
  </si>
  <si>
    <t xml:space="preserve">Famille - Marin</t>
  </si>
  <si>
    <t xml:space="preserve">Orion</t>
  </si>
  <si>
    <t xml:space="preserve">Famille - Orion</t>
  </si>
  <si>
    <t xml:space="preserve">Eliott</t>
  </si>
  <si>
    <t xml:space="preserve">Famille - Eliott</t>
  </si>
  <si>
    <t xml:space="preserve">Côme et Rose</t>
  </si>
  <si>
    <t xml:space="preserve">Famille - Côme et Rose</t>
  </si>
  <si>
    <t xml:space="preserve">Onglet famille</t>
  </si>
  <si>
    <t xml:space="preserve">Identite</t>
  </si>
  <si>
    <t xml:space="preserve">Preferences famille</t>
  </si>
  <si>
    <t xml:space="preserve">Semaines paires</t>
  </si>
  <si>
    <t xml:space="preserve">Semaines impaires</t>
  </si>
  <si>
    <t xml:space="preserve">Lundi</t>
  </si>
  <si>
    <t xml:space="preserve">Mardi</t>
  </si>
  <si>
    <t xml:space="preserve">Jeudi</t>
  </si>
  <si>
    <t xml:space="preserve">Vendredi</t>
  </si>
  <si>
    <t xml:space="preserve">Matin</t>
  </si>
  <si>
    <t xml:space="preserve">Soir</t>
  </si>
  <si>
    <t xml:space="preserve">Famille</t>
  </si>
  <si>
    <t xml:space="preserve">OK</t>
  </si>
  <si>
    <t xml:space="preserve">EVITER</t>
  </si>
  <si>
    <t xml:space="preserve">Absences enfants</t>
  </si>
  <si>
    <t xml:space="preserve">ABSENT</t>
  </si>
  <si>
    <t xml:space="preserve">PRESENT</t>
  </si>
  <si>
    <t xml:space="preserve">Informations libres</t>
  </si>
  <si>
    <t xml:space="preserve">Garde alternee / contexte</t>
  </si>
  <si>
    <t xml:space="preserve">Garde alternée (Céline). Avec Céline: paire = mardi soir, jeudi, vendredi ; impaire = lundi, mardi matin. L'autre parent (hors covoit) couvre le complément.</t>
  </si>
  <si>
    <t xml:space="preserve">Lieu de RDV</t>
  </si>
  <si>
    <t xml:space="preserve">Bar du pont OK</t>
  </si>
  <si>
    <t xml:space="preserve">Whatsapp</t>
  </si>
  <si>
    <t xml:space="preserve">Oui</t>
  </si>
  <si>
    <t xml:space="preserve">Remarques</t>
  </si>
  <si>
    <t xml:space="preserve">Parent: Céline. Réhausseur. Lundi matin impaire ne l'arrange pas (éviter).</t>
  </si>
  <si>
    <t xml:space="preserve">PREFERE</t>
  </si>
  <si>
    <t xml:space="preserve">IMPOSSIBLE</t>
  </si>
  <si>
    <t xml:space="preserve">Bar du pont, pont en bois</t>
  </si>
  <si>
    <t xml:space="preserve">Non</t>
  </si>
  <si>
    <t xml:space="preserve">Parents: Lydia/Abdou. Pas de réhausseur, peut passer à l'avant. Peu de visibilité pour la rentrée (Lydia).</t>
  </si>
  <si>
    <t xml:space="preserve">Co-parents dans le covoit (Nathalie/Guillaume + Kenann). Paire: Nathalie/Guillaume (sauf lundi matin = Kenann). Impaire: Kenann (sauf lundi matin = Nathalie/Guillaume). Présent toutes les semaines.</t>
  </si>
  <si>
    <t xml:space="preserve">Pas de préférence</t>
  </si>
  <si>
    <t xml:space="preserve">Réhausseur. Préférences par semaine selon parent présent. Détails à confirmer (N/G).</t>
  </si>
  <si>
    <t xml:space="preserve">Co-parents dans le covoit (Anne + Swan). Paire: Anne (mère). Impaire: Swan (père). Présente toutes les semaines.</t>
  </si>
  <si>
    <t xml:space="preserve">Anne: aucune préférence. Swan: PAS le bar du pont (voiture ne passe pas).</t>
  </si>
  <si>
    <t xml:space="preserve">Luce 11 ans, peut monter à l'avant sans réhausseur. Conflit déclaratif de semaine, tranché côté Swan (mère=paire).</t>
  </si>
  <si>
    <t xml:space="preserve">Co-parents dans le covoit (Sonia + Jean-Philippe). Paire: Sonia. Impaire: Jean-Philippe (garde alternée semaine impaire). Présente toutes les semaines.</t>
  </si>
  <si>
    <t xml:space="preserve">Sonia: Divajeu. Jean-Philippe: bar du pont.</t>
  </si>
  <si>
    <t xml:space="preserve">Sonia non, Jean-Philippe oui</t>
  </si>
  <si>
    <t xml:space="preserve">Réhausseur (possible sans / si devant). Sonia (paire) sans contrainte ferme, max 1 matin souhaité. JP (impaire) indispo lun/mar/jeu (travail), télétravail vendredi. EDT collège aînée en septembre.</t>
  </si>
  <si>
    <t xml:space="preserve">Garde alternée (Clémence): Marceau avec Clémence semaines impaires (changement le lundi via l'école). Absent semaines paires (autre parent hors covoit).</t>
  </si>
  <si>
    <t xml:space="preserve">À voir ensemble</t>
  </si>
  <si>
    <t xml:space="preserve">Parent: Clémence. Marceau 10 ans, peut monter à l'avant, plus de siège.</t>
  </si>
  <si>
    <t xml:space="preserve">Mael</t>
  </si>
  <si>
    <t xml:space="preserve">Mathéo</t>
  </si>
  <si>
    <t xml:space="preserve">Bar du Pont OK</t>
  </si>
  <si>
    <t xml:space="preserve">Parents: Virginie et Romain. Réhausseur. 2 enfants, 6 places.</t>
  </si>
  <si>
    <t xml:space="preserve">Bar du Pont (stationnement/sécurité parfois difficile)</t>
  </si>
  <si>
    <t xml:space="preserve">Parents: Lucie et Raphael. Réhausseur, pas encore devant. EDT/lieux de travail connus début juillet, peuvent changer.</t>
  </si>
  <si>
    <t xml:space="preserve">Co-parents dans le covoit (Joséphine + Mickael). Garde alternée non encore définie. Présent toutes les semaines. Préférences = union des dispos des 2 parents.</t>
  </si>
  <si>
    <t xml:space="preserve">Comme cette année</t>
  </si>
  <si>
    <t xml:space="preserve">Réhausseur à l'arrière. Nb de places non figé (3 à 5 selon véhicule), retenu 4.</t>
  </si>
  <si>
    <t xml:space="preserve">Bar du pont / parking St Férréol</t>
  </si>
  <si>
    <t xml:space="preserve">Parents: Lucille et Nicolas. Réhausseur à l'arrière (4 places dont un devant). Aucun trajet impossible, préférence lundi mais dispo la plupart des jours.</t>
  </si>
  <si>
    <t xml:space="preserve">Côme</t>
  </si>
  <si>
    <t xml:space="preserve">Rose</t>
  </si>
  <si>
    <t xml:space="preserve">Parents: Axel et Soizïc. 2 enfants. Soizic indispo les matins. Axel: 1 trajet matin ET soir le lundi ou mardi. Soizic: jeudi soir ou vendredi soir. Sécurité/lieu/WhatsApp non renseignés.</t>
  </si>
  <si>
    <t>Planning #1 — éditable</t>
  </si>
  <si>
    <t>Modifiez la liste (cellules jaunes). Stats, grille et complétude se recalculent. Menus Enfant : enfants du créneau restant à transporter. Préférences/capacités lues dans les feuilles familles.</t>
  </si>
  <si>
    <t>Semaine</t>
  </si>
  <si>
    <t>Jour</t>
  </si>
  <si>
    <t>Créneau</t>
  </si>
  <si>
    <t>Conducteur</t>
  </si>
  <si>
    <t>Lieu</t>
  </si>
  <si>
    <t>Enfant 1</t>
  </si>
  <si>
    <t>Enfant 2</t>
  </si>
  <si>
    <t>Enfant 3</t>
  </si>
  <si>
    <t>Enfant 4</t>
  </si>
  <si>
    <t>Enfant 5</t>
  </si>
  <si>
    <t>Enfant 6</t>
  </si>
  <si>
    <t>·</t>
  </si>
  <si>
    <t>Paire</t>
  </si>
  <si>
    <t>Lundi</t>
  </si>
  <si>
    <t>Matin</t>
  </si>
  <si>
    <t>Mael et Mathéo</t>
  </si>
  <si>
    <t/>
  </si>
  <si>
    <t>Mael</t>
  </si>
  <si>
    <t>Mathéo</t>
  </si>
  <si>
    <t>Issa</t>
  </si>
  <si>
    <t>Eneour</t>
  </si>
  <si>
    <t>Luce</t>
  </si>
  <si>
    <t>Côme et Rose</t>
  </si>
  <si>
    <t>Côme</t>
  </si>
  <si>
    <t>Rose</t>
  </si>
  <si>
    <t>Marceau</t>
  </si>
  <si>
    <t>Marin</t>
  </si>
  <si>
    <t>Mélanie</t>
  </si>
  <si>
    <t>Orion</t>
  </si>
  <si>
    <t>Eliott</t>
  </si>
  <si>
    <t>Soir</t>
  </si>
  <si>
    <t>Mardi</t>
  </si>
  <si>
    <t>Anna</t>
  </si>
  <si>
    <t>Jeudi</t>
  </si>
  <si>
    <t>Vendredi</t>
  </si>
  <si>
    <t>Impaire</t>
  </si>
  <si>
    <t>Complétude (1 = enfant présent non transporté)</t>
  </si>
  <si>
    <t>Paire|Lundi|Matin</t>
  </si>
  <si>
    <t>Paire|Lundi|Soir</t>
  </si>
  <si>
    <t>Paire|Mardi|Matin</t>
  </si>
  <si>
    <t>Paire|Mardi|Soir</t>
  </si>
  <si>
    <t>Paire|Jeudi|Matin</t>
  </si>
  <si>
    <t>Paire|Jeudi|Soir</t>
  </si>
  <si>
    <t>Paire|Vendredi|Matin</t>
  </si>
  <si>
    <t>Paire|Vendredi|Soir</t>
  </si>
  <si>
    <t>Impaire|Lundi|Matin</t>
  </si>
  <si>
    <t>Impaire|Lundi|Soir</t>
  </si>
  <si>
    <t>Impaire|Mardi|Matin</t>
  </si>
  <si>
    <t>Impaire|Mardi|Soir</t>
  </si>
  <si>
    <t>Impaire|Jeudi|Matin</t>
  </si>
  <si>
    <t>Impaire|Jeudi|Soir</t>
  </si>
  <si>
    <t>Impaire|Vendredi|Matin</t>
  </si>
  <si>
    <t>Impaire|Vendredi|Soir</t>
  </si>
  <si>
    <t>Famille</t>
  </si>
  <si>
    <t>Réel/sem</t>
  </si>
  <si>
    <t>Idéal/sem</t>
  </si>
  <si>
    <t>Écart</t>
  </si>
  <si>
    <t>Justice</t>
  </si>
  <si>
    <t>Éviter</t>
  </si>
  <si>
    <t>Préféré</t>
  </si>
  <si>
    <t>Impossible</t>
  </si>
  <si>
    <t>Manquants</t>
  </si>
  <si>
    <t>Voitures</t>
  </si>
  <si>
    <t>Enfants</t>
  </si>
  <si>
    <t>Min voitures</t>
  </si>
  <si>
    <t>Redondants</t>
  </si>
  <si>
    <t>Justice minimale</t>
  </si>
  <si>
    <t>Justice moyenne</t>
  </si>
  <si>
    <t>Affectations à éviter</t>
  </si>
  <si>
    <t>Affectations préférées</t>
  </si>
  <si>
    <t>Affectations impossibles</t>
  </si>
  <si>
    <t>Transports manquants</t>
  </si>
  <si>
    <t>Planning complet</t>
  </si>
  <si>
    <t>Dépassements de capacité</t>
  </si>
  <si>
    <t>Conducteurs redondants (approx.)</t>
  </si>
  <si>
    <t>Semaine paire</t>
  </si>
  <si>
    <t>Semaine impaire</t>
  </si>
  <si>
    <t>Planning #2 — éditable</t>
  </si>
  <si>
    <t>Planning #3 — éditable</t>
  </si>
  <si>
    <t>Planning #4 — éditable</t>
  </si>
  <si>
    <t>Planning #5 — éditable</t>
  </si>
  <si>
    <t>Planning #6 — éditable</t>
  </si>
  <si>
    <t>Planning #7 — éditable</t>
  </si>
  <si>
    <t>Planning #8 — éditable</t>
  </si>
  <si>
    <t>Planning #9 — éditable</t>
  </si>
  <si>
    <t>Planning #10 — éditable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</si>
</sst>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name val="Calibri"/>
      <family val="0"/>
      <charset val="1"/>
    </font>
    <font>
      <name val="Calibri"/>
      <sz val="11.0"/>
    </font>
    <font>
      <name val="Calibri"/>
      <sz val="11.0"/>
      <b val="true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0.0"/>
      <i val="true"/>
      <color rgb="FF808080"/>
    </font>
  </fonts>
  <fills count="18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0C0C0"/>
        <bgColor rgb="FFCCCCFF"/>
      </patternFill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2E75B6"/>
      </patternFill>
    </fill>
    <fill>
      <patternFill patternType="solid">
        <fgColor rgb="2E75B6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F2F7FD"/>
      </patternFill>
    </fill>
    <fill>
      <patternFill patternType="solid">
        <fgColor rgb="F2F7FD"/>
      </patternFill>
    </fill>
    <fill>
      <patternFill patternType="none">
        <fgColor rgb="FFF6CC"/>
      </patternFill>
    </fill>
    <fill>
      <patternFill patternType="solid">
        <fgColor rgb="FFF6CC"/>
      </patternFill>
    </fill>
    <fill>
      <patternFill patternType="none">
        <fgColor rgb="EAF3DF"/>
      </patternFill>
    </fill>
    <fill>
      <patternFill patternType="solid">
        <fgColor rgb="EAF3DF"/>
      </patternFill>
    </fill>
    <fill>
      <patternFill patternType="none">
        <fgColor rgb="D6E4F0"/>
      </patternFill>
    </fill>
    <fill>
      <patternFill patternType="solid">
        <fgColor rgb="D6E4F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>
      <top style="thin"/>
    </border>
    <border>
      <top style="thin">
        <color rgb="B8CCE4"/>
      </top>
    </border>
    <border>
      <top style="thin">
        <color rgb="B8CCE4"/>
      </top>
      <bottom style="thin"/>
    </border>
    <border>
      <top style="thin">
        <color rgb="B8CCE4"/>
      </top>
      <bottom style="thin">
        <color rgb="B8CCE4"/>
      </bottom>
    </border>
    <border>
      <left style="thin"/>
      <top style="thin">
        <color rgb="B8CCE4"/>
      </top>
      <bottom style="thin">
        <color rgb="B8CCE4"/>
      </bottom>
    </border>
    <border>
      <left style="thin">
        <color rgb="B8CCE4"/>
      </left>
      <top style="thin">
        <color rgb="B8CCE4"/>
      </top>
      <bottom style="thin">
        <color rgb="B8CCE4"/>
      </bottom>
    </border>
    <border>
      <left style="thin">
        <color rgb="B8CCE4"/>
      </left>
      <right style="thin"/>
      <top style="thin">
        <color rgb="B8CCE4"/>
      </top>
      <bottom style="thin">
        <color rgb="B8CCE4"/>
      </bottom>
    </border>
    <border>
      <left style="thin">
        <color rgb="B8CCE4"/>
      </left>
      <right style="thin">
        <color rgb="B8CCE4"/>
      </right>
      <top style="thin">
        <color rgb="B8CCE4"/>
      </top>
      <bottom style="thin">
        <color rgb="B8CCE4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0" fontId="9" fillId="5" borderId="0" xfId="0" applyFont="true" applyFill="true" applyAlignment="true">
      <alignment horizontal="left" vertical="center"/>
    </xf>
    <xf numFmtId="0" fontId="10" fillId="7" borderId="10" xfId="0" applyFont="true" applyFill="true" applyAlignment="true" applyBorder="true">
      <alignment horizontal="left" vertical="center"/>
    </xf>
    <xf numFmtId="0" fontId="11" fillId="0" borderId="0" xfId="0" applyFont="true" applyAlignment="true">
      <alignment horizontal="left" vertical="center"/>
    </xf>
    <xf numFmtId="0" fontId="8" fillId="9" borderId="10" xfId="0" applyFont="true" applyFill="true" applyAlignment="true" applyBorder="true">
      <alignment horizontal="left" vertical="center"/>
    </xf>
    <xf numFmtId="0" fontId="10" fillId="5" borderId="10" xfId="0" applyFont="true" applyFill="true" applyAlignment="true" applyBorder="true">
      <alignment horizontal="center" vertical="center"/>
    </xf>
    <xf numFmtId="0" fontId="10" fillId="5" borderId="10" xfId="0" applyFont="true" applyFill="true" applyAlignment="true" applyBorder="true">
      <alignment horizontal="left" vertical="center"/>
    </xf>
    <xf numFmtId="0" fontId="8" fillId="0" borderId="10" xfId="0" applyFont="true" applyAlignment="true" applyBorder="true">
      <alignment horizontal="left" vertical="center"/>
    </xf>
    <xf numFmtId="0" fontId="8" fillId="11" borderId="10" xfId="0" applyFont="true" applyFill="true" applyAlignment="true" applyBorder="true">
      <alignment horizontal="left" vertical="center"/>
    </xf>
    <xf numFmtId="2" fontId="7" fillId="0" borderId="10" xfId="0" applyFont="true" applyNumberFormat="true" applyAlignment="true" applyBorder="true">
      <alignment horizontal="right" vertical="center"/>
    </xf>
    <xf numFmtId="2" fontId="7" fillId="11" borderId="10" xfId="0" applyFont="true" applyFill="true" applyNumberFormat="true" applyAlignment="true" applyBorder="true">
      <alignment horizontal="right" vertical="center"/>
    </xf>
    <xf numFmtId="0" fontId="7" fillId="0" borderId="10" xfId="0" applyFont="true" applyAlignment="true" applyBorder="true">
      <alignment horizontal="right" vertical="center"/>
    </xf>
    <xf numFmtId="0" fontId="7" fillId="11" borderId="10" xfId="0" applyFont="true" applyFill="true" applyAlignment="true" applyBorder="true">
      <alignment horizontal="right" vertical="center"/>
    </xf>
    <xf numFmtId="0" fontId="7" fillId="13" borderId="10" xfId="0" applyFont="true" applyFill="true" applyAlignment="true" applyBorder="true">
      <alignment horizontal="left" vertical="center"/>
    </xf>
    <xf numFmtId="0" fontId="7" fillId="13" borderId="10" xfId="0" applyFont="true" applyFill="true" applyAlignment="true" applyBorder="true">
      <alignment horizontal="center" vertical="center"/>
    </xf>
    <xf numFmtId="0" fontId="8" fillId="15" borderId="10" xfId="0" applyFont="true" applyFill="true" applyAlignment="true" applyBorder="true">
      <alignment horizontal="right" vertical="center"/>
    </xf>
    <xf numFmtId="0" fontId="7" fillId="9" borderId="10" xfId="0" applyFont="true" applyFill="true" applyAlignment="true" applyBorder="true">
      <alignment horizontal="left" vertical="center"/>
    </xf>
    <xf numFmtId="0" fontId="8" fillId="17" borderId="10" xfId="0" applyFont="true" applyFill="true" applyAlignment="true" applyBorder="true">
      <alignment horizontal="center" vertical="center"/>
    </xf>
    <xf numFmtId="0" fontId="7" fillId="0" borderId="10" xfId="0" applyFont="true" applyAlignment="true" applyBorder="true">
      <alignment wrapText="true" horizontal="lef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sharedStrings.xml" Type="http://schemas.openxmlformats.org/officeDocument/2006/relationships/sharedStrings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styles.xml" Type="http://schemas.openxmlformats.org/officeDocument/2006/relationships/styles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120.0" collapsed="false" outlineLevel="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4" customWidth="true" hidden="false" style="0" width="5.0" collapsed="false" outlineLevel="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</row>
    <row r="2" customFormat="false" ht="41.75" hidden="false" customHeight="false" outlineLevel="0" collapsed="false">
      <c r="A2" s="4" t="s">
        <v>11</v>
      </c>
      <c r="B2" s="4" t="s">
        <v>12</v>
      </c>
      <c r="C2" s="4" t="n">
        <v>4</v>
      </c>
      <c r="D2" s="4" t="n">
        <v>1</v>
      </c>
    </row>
    <row r="3" customFormat="false" ht="41.75" hidden="false" customHeight="false" outlineLevel="0" collapsed="false">
      <c r="A3" s="4" t="s">
        <v>13</v>
      </c>
      <c r="B3" s="4" t="s">
        <v>14</v>
      </c>
      <c r="C3" s="4" t="n">
        <v>4</v>
      </c>
      <c r="D3" s="4" t="n">
        <v>1</v>
      </c>
    </row>
    <row r="4" customFormat="false" ht="55.2" hidden="false" customHeight="false" outlineLevel="0" collapsed="false">
      <c r="A4" s="4" t="s">
        <v>15</v>
      </c>
      <c r="B4" s="4" t="s">
        <v>16</v>
      </c>
      <c r="C4" s="4" t="n">
        <v>4</v>
      </c>
      <c r="D4" s="4" t="n">
        <v>1</v>
      </c>
    </row>
    <row r="5" customFormat="false" ht="41.75" hidden="false" customHeight="false" outlineLevel="0" collapsed="false">
      <c r="A5" s="4" t="s">
        <v>17</v>
      </c>
      <c r="B5" s="4" t="s">
        <v>18</v>
      </c>
      <c r="C5" s="4" t="n">
        <v>4</v>
      </c>
      <c r="D5" s="4" t="n">
        <v>1</v>
      </c>
    </row>
    <row r="6" customFormat="false" ht="55.2" hidden="false" customHeight="false" outlineLevel="0" collapsed="false">
      <c r="A6" s="4" t="s">
        <v>19</v>
      </c>
      <c r="B6" s="4" t="s">
        <v>20</v>
      </c>
      <c r="C6" s="4" t="n">
        <v>4</v>
      </c>
      <c r="D6" s="4" t="n">
        <v>1</v>
      </c>
    </row>
    <row r="7" customFormat="false" ht="55.2" hidden="false" customHeight="false" outlineLevel="0" collapsed="false">
      <c r="A7" s="4" t="s">
        <v>21</v>
      </c>
      <c r="B7" s="4" t="s">
        <v>22</v>
      </c>
      <c r="C7" s="4" t="n">
        <v>4</v>
      </c>
      <c r="D7" s="4" t="n">
        <v>1</v>
      </c>
    </row>
    <row r="8" customFormat="false" ht="82.05" hidden="false" customHeight="false" outlineLevel="0" collapsed="false">
      <c r="A8" s="4" t="s">
        <v>23</v>
      </c>
      <c r="B8" s="4" t="s">
        <v>24</v>
      </c>
      <c r="C8" s="4" t="n">
        <v>6</v>
      </c>
      <c r="D8" s="4" t="n">
        <v>2</v>
      </c>
    </row>
    <row r="9" customFormat="false" ht="41.75" hidden="false" customHeight="false" outlineLevel="0" collapsed="false">
      <c r="A9" s="4" t="s">
        <v>25</v>
      </c>
      <c r="B9" s="4" t="s">
        <v>26</v>
      </c>
      <c r="C9" s="4" t="n">
        <v>4</v>
      </c>
      <c r="D9" s="4" t="n">
        <v>1</v>
      </c>
    </row>
    <row r="10" customFormat="false" ht="41.75" hidden="false" customHeight="false" outlineLevel="0" collapsed="false">
      <c r="A10" s="4" t="s">
        <v>27</v>
      </c>
      <c r="B10" s="4" t="s">
        <v>28</v>
      </c>
      <c r="C10" s="4" t="n">
        <v>4</v>
      </c>
      <c r="D10" s="4" t="n">
        <v>1</v>
      </c>
    </row>
    <row r="11" customFormat="false" ht="41.75" hidden="false" customHeight="false" outlineLevel="0" collapsed="false">
      <c r="A11" s="4" t="s">
        <v>29</v>
      </c>
      <c r="B11" s="4" t="s">
        <v>30</v>
      </c>
      <c r="C11" s="4" t="n">
        <v>4</v>
      </c>
      <c r="D11" s="4" t="n">
        <v>1</v>
      </c>
    </row>
    <row r="12" customFormat="false" ht="68.65" hidden="false" customHeight="false" outlineLevel="0" collapsed="false">
      <c r="A12" s="4" t="s">
        <v>31</v>
      </c>
      <c r="B12" s="4" t="s">
        <v>32</v>
      </c>
      <c r="C12" s="4" t="n">
        <v>4</v>
      </c>
      <c r="D12" s="4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46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11</v>
      </c>
      <c r="B16" s="4" t="s">
        <v>48</v>
      </c>
      <c r="C16" s="4" t="s">
        <v>48</v>
      </c>
      <c r="D16" s="4" t="s">
        <v>48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48</v>
      </c>
      <c r="N16" s="4" t="s">
        <v>48</v>
      </c>
      <c r="O16" s="4" t="s">
        <v>48</v>
      </c>
      <c r="P16" s="4" t="s">
        <v>48</v>
      </c>
      <c r="Q16" s="4" t="s">
        <v>48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52</v>
      </c>
    </row>
    <row r="21" customFormat="false" ht="28.35" hidden="false" customHeight="false" outlineLevel="0" collapsed="false">
      <c r="A21" s="6" t="s">
        <v>53</v>
      </c>
      <c r="B21" s="4" t="s">
        <v>54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95.5" hidden="false" customHeight="false" outlineLevel="0" collapsed="false">
      <c r="A23" s="6" t="s">
        <v>57</v>
      </c>
      <c r="B23" s="4" t="s">
        <v>58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13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59</v>
      </c>
      <c r="E10" s="4" t="s">
        <v>59</v>
      </c>
      <c r="F10" s="4" t="s">
        <v>59</v>
      </c>
      <c r="G10" s="4" t="s">
        <v>59</v>
      </c>
      <c r="H10" s="4" t="s">
        <v>60</v>
      </c>
      <c r="I10" s="4" t="s">
        <v>45</v>
      </c>
      <c r="J10" s="4" t="s">
        <v>59</v>
      </c>
      <c r="K10" s="4" t="s">
        <v>59</v>
      </c>
      <c r="L10" s="4" t="s">
        <v>59</v>
      </c>
      <c r="M10" s="4" t="s">
        <v>59</v>
      </c>
      <c r="N10" s="4" t="s">
        <v>59</v>
      </c>
      <c r="O10" s="4" t="s">
        <v>59</v>
      </c>
      <c r="P10" s="4" t="s">
        <v>60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13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5" hidden="false" customHeight="false" outlineLevel="0" collapsed="false">
      <c r="A20" s="6" t="s">
        <v>51</v>
      </c>
      <c r="B20" s="4"/>
    </row>
    <row r="21" customFormat="false" ht="28.35" hidden="false" customHeight="false" outlineLevel="0" collapsed="false">
      <c r="A21" s="6" t="s">
        <v>53</v>
      </c>
      <c r="B21" s="4" t="s">
        <v>61</v>
      </c>
    </row>
    <row r="22" customFormat="false" ht="15" hidden="false" customHeight="false" outlineLevel="0" collapsed="false">
      <c r="A22" s="6" t="s">
        <v>55</v>
      </c>
      <c r="B22" s="4" t="s">
        <v>62</v>
      </c>
    </row>
    <row r="23" customFormat="false" ht="135.8" hidden="false" customHeight="false" outlineLevel="0" collapsed="false">
      <c r="A23" s="6" t="s">
        <v>57</v>
      </c>
      <c r="B23" s="4" t="s">
        <v>63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15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60</v>
      </c>
      <c r="C10" s="4" t="s">
        <v>59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4" t="s">
        <v>59</v>
      </c>
      <c r="L10" s="4" t="s">
        <v>60</v>
      </c>
      <c r="M10" s="4" t="s">
        <v>59</v>
      </c>
      <c r="N10" s="4" t="s">
        <v>60</v>
      </c>
      <c r="O10" s="4" t="s">
        <v>59</v>
      </c>
      <c r="P10" s="4" t="s">
        <v>60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15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43.25" hidden="false" customHeight="false" outlineLevel="0" collapsed="false">
      <c r="A20" s="6" t="s">
        <v>51</v>
      </c>
      <c r="B20" s="4" t="s">
        <v>64</v>
      </c>
    </row>
    <row r="21" customFormat="false" ht="28.35" hidden="false" customHeight="false" outlineLevel="0" collapsed="false">
      <c r="A21" s="6" t="s">
        <v>53</v>
      </c>
      <c r="B21" s="4" t="s">
        <v>65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108.95" hidden="false" customHeight="false" outlineLevel="0" collapsed="false">
      <c r="A23" s="6" t="s">
        <v>57</v>
      </c>
      <c r="B23" s="4" t="s">
        <v>66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17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45</v>
      </c>
      <c r="I10" s="4" t="s">
        <v>45</v>
      </c>
      <c r="J10" s="4" t="s">
        <v>45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46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35.8" hidden="false" customHeight="false" outlineLevel="0" collapsed="false">
      <c r="A20" s="6" t="s">
        <v>51</v>
      </c>
      <c r="B20" s="4" t="s">
        <v>67</v>
      </c>
    </row>
    <row r="21" customFormat="false" ht="82.05" hidden="false" customHeight="false" outlineLevel="0" collapsed="false">
      <c r="A21" s="6" t="s">
        <v>53</v>
      </c>
      <c r="B21" s="4" t="s">
        <v>68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149.25" hidden="false" customHeight="false" outlineLevel="0" collapsed="false">
      <c r="A23" s="6" t="s">
        <v>57</v>
      </c>
      <c r="B23" s="4" t="s">
        <v>69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19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60</v>
      </c>
      <c r="K10" s="4" t="s">
        <v>60</v>
      </c>
      <c r="L10" s="4" t="s">
        <v>60</v>
      </c>
      <c r="M10" s="4" t="s">
        <v>60</v>
      </c>
      <c r="N10" s="4" t="s">
        <v>60</v>
      </c>
      <c r="O10" s="4" t="s">
        <v>60</v>
      </c>
      <c r="P10" s="4" t="s">
        <v>59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19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70</v>
      </c>
    </row>
    <row r="21" customFormat="false" ht="55.2" hidden="false" customHeight="false" outlineLevel="0" collapsed="false">
      <c r="A21" s="6" t="s">
        <v>53</v>
      </c>
      <c r="B21" s="4" t="s">
        <v>71</v>
      </c>
    </row>
    <row r="22" customFormat="false" ht="41.75" hidden="false" customHeight="false" outlineLevel="0" collapsed="false">
      <c r="A22" s="6" t="s">
        <v>55</v>
      </c>
      <c r="B22" s="4" t="s">
        <v>72</v>
      </c>
    </row>
    <row r="23" customFormat="false" ht="256.7" hidden="false" customHeight="false" outlineLevel="0" collapsed="false">
      <c r="A23" s="6" t="s">
        <v>57</v>
      </c>
      <c r="B23" s="4" t="s">
        <v>73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60</v>
      </c>
      <c r="D10" s="4" t="s">
        <v>60</v>
      </c>
      <c r="E10" s="4" t="s">
        <v>60</v>
      </c>
      <c r="F10" s="4" t="s">
        <v>60</v>
      </c>
      <c r="G10" s="4" t="s">
        <v>60</v>
      </c>
      <c r="H10" s="4" t="s">
        <v>60</v>
      </c>
      <c r="I10" s="4" t="s">
        <v>60</v>
      </c>
      <c r="J10" s="4" t="s">
        <v>45</v>
      </c>
      <c r="K10" s="4" t="s">
        <v>59</v>
      </c>
      <c r="L10" s="4" t="s">
        <v>60</v>
      </c>
      <c r="M10" s="4" t="s">
        <v>60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21</v>
      </c>
      <c r="B16" s="4" t="s">
        <v>49</v>
      </c>
      <c r="C16" s="4" t="s">
        <v>48</v>
      </c>
      <c r="D16" s="4" t="s">
        <v>48</v>
      </c>
      <c r="E16" s="4" t="s">
        <v>48</v>
      </c>
      <c r="F16" s="4" t="s">
        <v>48</v>
      </c>
      <c r="G16" s="4" t="s">
        <v>48</v>
      </c>
      <c r="H16" s="4" t="s">
        <v>48</v>
      </c>
      <c r="I16" s="4" t="s">
        <v>48</v>
      </c>
      <c r="J16" s="4" t="s">
        <v>48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74</v>
      </c>
    </row>
    <row r="21" customFormat="false" ht="28.35" hidden="false" customHeight="false" outlineLevel="0" collapsed="false">
      <c r="A21" s="6" t="s">
        <v>53</v>
      </c>
      <c r="B21" s="4" t="s">
        <v>75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95.5" hidden="false" customHeight="false" outlineLevel="0" collapsed="false">
      <c r="A23" s="6" t="s">
        <v>57</v>
      </c>
      <c r="B23" s="4" t="s">
        <v>76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28.35" hidden="false" customHeight="false" outlineLevel="0" collapsed="false">
      <c r="A4" s="6" t="s">
        <v>7</v>
      </c>
      <c r="B4" s="4" t="s">
        <v>23</v>
      </c>
    </row>
    <row r="5" customFormat="false" ht="15" hidden="false" customHeight="false" outlineLevel="0" collapsed="false">
      <c r="A5" s="6" t="s">
        <v>9</v>
      </c>
      <c r="B5" s="4" t="n">
        <v>6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45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59</v>
      </c>
      <c r="I10" s="4" t="s">
        <v>59</v>
      </c>
      <c r="J10" s="4" t="s">
        <v>45</v>
      </c>
      <c r="K10" s="4" t="s">
        <v>45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59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77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7" customFormat="false" ht="15" hidden="false" customHeight="false" outlineLevel="0" collapsed="false">
      <c r="A17" s="6" t="s">
        <v>78</v>
      </c>
      <c r="B17" s="4" t="s">
        <v>49</v>
      </c>
      <c r="C17" s="4" t="s">
        <v>49</v>
      </c>
      <c r="D17" s="4" t="s">
        <v>49</v>
      </c>
      <c r="E17" s="4" t="s">
        <v>49</v>
      </c>
      <c r="F17" s="4" t="s">
        <v>49</v>
      </c>
      <c r="G17" s="4" t="s">
        <v>49</v>
      </c>
      <c r="H17" s="4" t="s">
        <v>49</v>
      </c>
      <c r="I17" s="4" t="s">
        <v>49</v>
      </c>
      <c r="J17" s="4" t="s">
        <v>49</v>
      </c>
      <c r="K17" s="4" t="s">
        <v>49</v>
      </c>
      <c r="L17" s="4" t="s">
        <v>49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49</v>
      </c>
    </row>
    <row r="20" customFormat="false" ht="15" hidden="false" customHeight="false" outlineLevel="0" collapsed="false">
      <c r="A20" s="5" t="s">
        <v>50</v>
      </c>
    </row>
    <row r="21" customFormat="false" ht="15" hidden="false" customHeight="false" outlineLevel="0" collapsed="false">
      <c r="A21" s="6" t="s">
        <v>51</v>
      </c>
      <c r="B21" s="4"/>
    </row>
    <row r="22" customFormat="false" ht="28.35" hidden="false" customHeight="false" outlineLevel="0" collapsed="false">
      <c r="A22" s="6" t="s">
        <v>53</v>
      </c>
      <c r="B22" s="4" t="s">
        <v>79</v>
      </c>
    </row>
    <row r="23" customFormat="false" ht="15" hidden="false" customHeight="false" outlineLevel="0" collapsed="false">
      <c r="A23" s="6" t="s">
        <v>55</v>
      </c>
      <c r="B23" s="4" t="s">
        <v>56</v>
      </c>
    </row>
    <row r="24" customFormat="false" ht="82.05" hidden="false" customHeight="false" outlineLevel="0" collapsed="false">
      <c r="A24" s="6" t="s">
        <v>57</v>
      </c>
      <c r="B24" s="4" t="s">
        <v>80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7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25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60</v>
      </c>
      <c r="C10" s="4" t="s">
        <v>45</v>
      </c>
      <c r="D10" s="4" t="s">
        <v>60</v>
      </c>
      <c r="E10" s="4" t="s">
        <v>59</v>
      </c>
      <c r="F10" s="4" t="s">
        <v>60</v>
      </c>
      <c r="G10" s="4" t="s">
        <v>45</v>
      </c>
      <c r="H10" s="4" t="s">
        <v>60</v>
      </c>
      <c r="I10" s="4" t="s">
        <v>59</v>
      </c>
      <c r="J10" s="4" t="s">
        <v>60</v>
      </c>
      <c r="K10" s="4" t="s">
        <v>45</v>
      </c>
      <c r="L10" s="4" t="s">
        <v>60</v>
      </c>
      <c r="M10" s="4" t="s">
        <v>59</v>
      </c>
      <c r="N10" s="4" t="s">
        <v>60</v>
      </c>
      <c r="O10" s="4" t="s">
        <v>45</v>
      </c>
      <c r="P10" s="4" t="s">
        <v>60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25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5" hidden="false" customHeight="false" outlineLevel="0" collapsed="false">
      <c r="A20" s="6" t="s">
        <v>51</v>
      </c>
      <c r="B20" s="4"/>
    </row>
    <row r="21" customFormat="false" ht="68.65" hidden="false" customHeight="false" outlineLevel="0" collapsed="false">
      <c r="A21" s="6" t="s">
        <v>53</v>
      </c>
      <c r="B21" s="4" t="s">
        <v>81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162.65" hidden="false" customHeight="false" outlineLevel="0" collapsed="false">
      <c r="A23" s="6" t="s">
        <v>57</v>
      </c>
      <c r="B23" s="4" t="s">
        <v>82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27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60</v>
      </c>
      <c r="E10" s="4" t="s">
        <v>45</v>
      </c>
      <c r="F10" s="4" t="s">
        <v>60</v>
      </c>
      <c r="G10" s="4" t="s">
        <v>45</v>
      </c>
      <c r="H10" s="4" t="s">
        <v>60</v>
      </c>
      <c r="I10" s="4" t="s">
        <v>45</v>
      </c>
      <c r="J10" s="4" t="s">
        <v>59</v>
      </c>
      <c r="K10" s="4" t="s">
        <v>59</v>
      </c>
      <c r="L10" s="4" t="s">
        <v>60</v>
      </c>
      <c r="M10" s="4" t="s">
        <v>45</v>
      </c>
      <c r="N10" s="4" t="s">
        <v>60</v>
      </c>
      <c r="O10" s="4" t="s">
        <v>45</v>
      </c>
      <c r="P10" s="4" t="s">
        <v>60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27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202.95" hidden="false" customHeight="false" outlineLevel="0" collapsed="false">
      <c r="A20" s="6" t="s">
        <v>51</v>
      </c>
      <c r="B20" s="4" t="s">
        <v>83</v>
      </c>
    </row>
    <row r="21" customFormat="false" ht="28.35" hidden="false" customHeight="false" outlineLevel="0" collapsed="false">
      <c r="A21" s="6" t="s">
        <v>53</v>
      </c>
      <c r="B21" s="4" t="s">
        <v>84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95.5" hidden="false" customHeight="false" outlineLevel="0" collapsed="false">
      <c r="A23" s="6" t="s">
        <v>57</v>
      </c>
      <c r="B23" s="4" t="s">
        <v>85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29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59</v>
      </c>
      <c r="K10" s="4" t="s">
        <v>59</v>
      </c>
      <c r="L10" s="4" t="s">
        <v>45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29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9" customFormat="false" ht="15" hidden="false" customHeight="false" outlineLevel="0" collapsed="false">
      <c r="A19" s="5" t="s">
        <v>50</v>
      </c>
    </row>
    <row r="20" customFormat="false" ht="15" hidden="false" customHeight="false" outlineLevel="0" collapsed="false">
      <c r="A20" s="6" t="s">
        <v>51</v>
      </c>
      <c r="B20" s="4"/>
    </row>
    <row r="21" customFormat="false" ht="41.75" hidden="false" customHeight="false" outlineLevel="0" collapsed="false">
      <c r="A21" s="6" t="s">
        <v>53</v>
      </c>
      <c r="B21" s="4" t="s">
        <v>86</v>
      </c>
    </row>
    <row r="22" customFormat="false" ht="15" hidden="false" customHeight="false" outlineLevel="0" collapsed="false">
      <c r="A22" s="6" t="s">
        <v>55</v>
      </c>
      <c r="B22" s="4" t="s">
        <v>56</v>
      </c>
    </row>
    <row r="23" customFormat="false" ht="189.55" hidden="false" customHeight="false" outlineLevel="0" collapsed="false">
      <c r="A23" s="6" t="s">
        <v>57</v>
      </c>
      <c r="B23" s="4" t="s">
        <v>87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6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min="1" max="1" customWidth="true" hidden="false" style="0" width="28.0" collapsed="false" outlineLevel="0"/>
    <col min="2" max="17" customWidth="true" hidden="false" style="0" width="12.0" collapsed="false" outlineLevel="0"/>
    <col min="18" max="18" customWidth="true" hidden="false" style="0" width="40.0" collapsed="false" outlineLevel="0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6" t="s">
        <v>7</v>
      </c>
      <c r="B4" s="4" t="s">
        <v>31</v>
      </c>
    </row>
    <row r="5" customFormat="false" ht="15" hidden="false" customHeight="false" outlineLevel="0" collapsed="false">
      <c r="A5" s="6" t="s">
        <v>9</v>
      </c>
      <c r="B5" s="4" t="n">
        <v>4</v>
      </c>
    </row>
    <row r="6" customFormat="false" ht="15" hidden="false" customHeight="false" outlineLevel="0" collapsed="false">
      <c r="A6" s="5" t="s">
        <v>35</v>
      </c>
    </row>
    <row r="7" customFormat="false" ht="15" hidden="false" customHeight="false" outlineLevel="0" collapsed="false">
      <c r="A7" s="3"/>
      <c r="B7" s="7" t="s">
        <v>36</v>
      </c>
      <c r="C7" s="7"/>
      <c r="D7" s="7"/>
      <c r="E7" s="7"/>
      <c r="F7" s="7"/>
      <c r="G7" s="7"/>
      <c r="H7" s="7"/>
      <c r="I7" s="7"/>
      <c r="J7" s="7" t="s">
        <v>37</v>
      </c>
      <c r="K7" s="7"/>
      <c r="L7" s="7"/>
      <c r="M7" s="7"/>
      <c r="N7" s="7"/>
      <c r="O7" s="7"/>
      <c r="P7" s="7"/>
      <c r="Q7" s="7"/>
    </row>
    <row r="8" customFormat="false" ht="15" hidden="false" customHeight="false" outlineLevel="0" collapsed="false">
      <c r="A8" s="3"/>
      <c r="B8" s="7" t="s">
        <v>38</v>
      </c>
      <c r="C8" s="7"/>
      <c r="D8" s="7" t="s">
        <v>39</v>
      </c>
      <c r="E8" s="7"/>
      <c r="F8" s="7" t="s">
        <v>40</v>
      </c>
      <c r="G8" s="7"/>
      <c r="H8" s="7" t="s">
        <v>41</v>
      </c>
      <c r="I8" s="7"/>
      <c r="J8" s="7" t="s">
        <v>38</v>
      </c>
      <c r="K8" s="7"/>
      <c r="L8" s="7" t="s">
        <v>39</v>
      </c>
      <c r="M8" s="7"/>
      <c r="N8" s="7" t="s">
        <v>40</v>
      </c>
      <c r="O8" s="7"/>
      <c r="P8" s="7" t="s">
        <v>41</v>
      </c>
      <c r="Q8" s="7"/>
    </row>
    <row r="9" customFormat="false" ht="15" hidden="false" customHeight="false" outlineLevel="0" collapsed="false">
      <c r="A9" s="3"/>
      <c r="B9" s="3" t="s">
        <v>42</v>
      </c>
      <c r="C9" s="3" t="s">
        <v>43</v>
      </c>
      <c r="D9" s="3" t="s">
        <v>42</v>
      </c>
      <c r="E9" s="3" t="s">
        <v>43</v>
      </c>
      <c r="F9" s="3" t="s">
        <v>42</v>
      </c>
      <c r="G9" s="3" t="s">
        <v>43</v>
      </c>
      <c r="H9" s="3" t="s">
        <v>42</v>
      </c>
      <c r="I9" s="3" t="s">
        <v>43</v>
      </c>
      <c r="J9" s="3" t="s">
        <v>42</v>
      </c>
      <c r="K9" s="3" t="s">
        <v>43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42</v>
      </c>
      <c r="Q9" s="3" t="s">
        <v>43</v>
      </c>
    </row>
    <row r="10" customFormat="false" ht="15" hidden="false" customHeight="false" outlineLevel="0" collapsed="false">
      <c r="A10" s="6" t="s">
        <v>44</v>
      </c>
      <c r="B10" s="4" t="s">
        <v>59</v>
      </c>
      <c r="C10" s="4" t="s">
        <v>59</v>
      </c>
      <c r="D10" s="4" t="s">
        <v>59</v>
      </c>
      <c r="E10" s="4" t="s">
        <v>59</v>
      </c>
      <c r="F10" s="4" t="s">
        <v>60</v>
      </c>
      <c r="G10" s="4" t="s">
        <v>59</v>
      </c>
      <c r="H10" s="4" t="s">
        <v>60</v>
      </c>
      <c r="I10" s="4" t="s">
        <v>59</v>
      </c>
      <c r="J10" s="4" t="s">
        <v>59</v>
      </c>
      <c r="K10" s="4" t="s">
        <v>59</v>
      </c>
      <c r="L10" s="4" t="s">
        <v>59</v>
      </c>
      <c r="M10" s="4" t="s">
        <v>59</v>
      </c>
      <c r="N10" s="4" t="s">
        <v>60</v>
      </c>
      <c r="O10" s="4" t="s">
        <v>59</v>
      </c>
      <c r="P10" s="4" t="s">
        <v>60</v>
      </c>
      <c r="Q10" s="4" t="s">
        <v>59</v>
      </c>
    </row>
    <row r="12" customFormat="false" ht="15" hidden="false" customHeight="false" outlineLevel="0" collapsed="false">
      <c r="A12" s="5" t="s">
        <v>47</v>
      </c>
    </row>
    <row r="13" customFormat="false" ht="15" hidden="false" customHeight="false" outlineLevel="0" collapsed="false">
      <c r="A13" s="3"/>
      <c r="B13" s="7" t="s">
        <v>36</v>
      </c>
      <c r="C13" s="7"/>
      <c r="D13" s="7"/>
      <c r="E13" s="7"/>
      <c r="F13" s="7"/>
      <c r="G13" s="7"/>
      <c r="H13" s="7"/>
      <c r="I13" s="7"/>
      <c r="J13" s="7" t="s">
        <v>37</v>
      </c>
      <c r="K13" s="7"/>
      <c r="L13" s="7"/>
      <c r="M13" s="7"/>
      <c r="N13" s="7"/>
      <c r="O13" s="7"/>
      <c r="P13" s="7"/>
      <c r="Q13" s="7"/>
    </row>
    <row r="14" customFormat="false" ht="15" hidden="false" customHeight="false" outlineLevel="0" collapsed="false">
      <c r="A14" s="3"/>
      <c r="B14" s="7" t="s">
        <v>38</v>
      </c>
      <c r="C14" s="7"/>
      <c r="D14" s="7" t="s">
        <v>39</v>
      </c>
      <c r="E14" s="7"/>
      <c r="F14" s="7" t="s">
        <v>40</v>
      </c>
      <c r="G14" s="7"/>
      <c r="H14" s="7" t="s">
        <v>41</v>
      </c>
      <c r="I14" s="7"/>
      <c r="J14" s="7" t="s">
        <v>38</v>
      </c>
      <c r="K14" s="7"/>
      <c r="L14" s="7" t="s">
        <v>39</v>
      </c>
      <c r="M14" s="7"/>
      <c r="N14" s="7" t="s">
        <v>40</v>
      </c>
      <c r="O14" s="7"/>
      <c r="P14" s="7" t="s">
        <v>41</v>
      </c>
      <c r="Q14" s="7"/>
    </row>
    <row r="15" customFormat="false" ht="15" hidden="false" customHeight="false" outlineLevel="0" collapsed="false">
      <c r="A15" s="3"/>
      <c r="B15" s="3" t="s">
        <v>42</v>
      </c>
      <c r="C15" s="3" t="s">
        <v>43</v>
      </c>
      <c r="D15" s="3" t="s">
        <v>42</v>
      </c>
      <c r="E15" s="3" t="s">
        <v>43</v>
      </c>
      <c r="F15" s="3" t="s">
        <v>42</v>
      </c>
      <c r="G15" s="3" t="s">
        <v>43</v>
      </c>
      <c r="H15" s="3" t="s">
        <v>42</v>
      </c>
      <c r="I15" s="3" t="s">
        <v>43</v>
      </c>
      <c r="J15" s="3" t="s">
        <v>42</v>
      </c>
      <c r="K15" s="3" t="s">
        <v>43</v>
      </c>
      <c r="L15" s="3" t="s">
        <v>42</v>
      </c>
      <c r="M15" s="3" t="s">
        <v>43</v>
      </c>
      <c r="N15" s="3" t="s">
        <v>42</v>
      </c>
      <c r="O15" s="3" t="s">
        <v>43</v>
      </c>
      <c r="P15" s="3" t="s">
        <v>42</v>
      </c>
      <c r="Q15" s="3" t="s">
        <v>43</v>
      </c>
    </row>
    <row r="16" customFormat="false" ht="15" hidden="false" customHeight="false" outlineLevel="0" collapsed="false">
      <c r="A16" s="6" t="s">
        <v>88</v>
      </c>
      <c r="B16" s="4" t="s">
        <v>49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</row>
    <row r="17" customFormat="false" ht="15" hidden="false" customHeight="false" outlineLevel="0" collapsed="false">
      <c r="A17" s="6" t="s">
        <v>89</v>
      </c>
      <c r="B17" s="4" t="s">
        <v>49</v>
      </c>
      <c r="C17" s="4" t="s">
        <v>49</v>
      </c>
      <c r="D17" s="4" t="s">
        <v>49</v>
      </c>
      <c r="E17" s="4" t="s">
        <v>49</v>
      </c>
      <c r="F17" s="4" t="s">
        <v>49</v>
      </c>
      <c r="G17" s="4" t="s">
        <v>49</v>
      </c>
      <c r="H17" s="4" t="s">
        <v>49</v>
      </c>
      <c r="I17" s="4" t="s">
        <v>49</v>
      </c>
      <c r="J17" s="4" t="s">
        <v>49</v>
      </c>
      <c r="K17" s="4" t="s">
        <v>49</v>
      </c>
      <c r="L17" s="4" t="s">
        <v>49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49</v>
      </c>
    </row>
    <row r="20" customFormat="false" ht="15" hidden="false" customHeight="false" outlineLevel="0" collapsed="false">
      <c r="A20" s="5" t="s">
        <v>50</v>
      </c>
    </row>
    <row r="21" customFormat="false" ht="15" hidden="false" customHeight="false" outlineLevel="0" collapsed="false">
      <c r="A21" s="6" t="s">
        <v>51</v>
      </c>
      <c r="B21" s="4"/>
    </row>
    <row r="22" customFormat="false" ht="15" hidden="false" customHeight="false" outlineLevel="0" collapsed="false">
      <c r="A22" s="6" t="s">
        <v>53</v>
      </c>
      <c r="B22" s="4"/>
    </row>
    <row r="23" customFormat="false" ht="15" hidden="false" customHeight="false" outlineLevel="0" collapsed="false">
      <c r="A23" s="6" t="s">
        <v>55</v>
      </c>
      <c r="B23" s="4"/>
    </row>
    <row r="24" customFormat="false" ht="202.95" hidden="false" customHeight="false" outlineLevel="0" collapsed="false">
      <c r="A24" s="6" t="s">
        <v>57</v>
      </c>
      <c r="B24" s="4" t="s">
        <v>90</v>
      </c>
    </row>
  </sheetData>
  <mergeCells count="20"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  <mergeCell ref="B13:I13"/>
    <mergeCell ref="J13:Q13"/>
    <mergeCell ref="B14:C14"/>
    <mergeCell ref="D14:E14"/>
    <mergeCell ref="F14:G14"/>
    <mergeCell ref="H14:I14"/>
    <mergeCell ref="J14:K14"/>
    <mergeCell ref="L14:M14"/>
    <mergeCell ref="N14:O14"/>
    <mergeCell ref="P14:Q14"/>
  </mergeCells>
  <dataValidations count="2">
    <dataValidation allowBlank="true" errorStyle="stop" operator="between" showDropDown="false" showErrorMessage="false" showInputMessage="false" sqref="B10:Q10" type="list">
      <formula1>"IMPOSSIBLE,EVITER,OK,PREFERE"</formula1>
      <formula2>0</formula2>
    </dataValidation>
    <dataValidation allowBlank="true" errorStyle="stop" operator="between" showDropDown="false" showErrorMessage="false" showInputMessage="false" sqref="B16:Q17" type="list">
      <formula1>"PRESENT,ABSENT"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91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108</v>
      </c>
      <c r="E10" t="s" s="20">
        <v>109</v>
      </c>
      <c r="F10" t="s" s="20">
        <v>110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115</v>
      </c>
      <c r="E12" t="s" s="20">
        <v>109</v>
      </c>
      <c r="F12" t="s" s="20">
        <v>116</v>
      </c>
      <c r="G12" t="s" s="20">
        <v>117</v>
      </c>
      <c r="H12" t="s" s="20">
        <v>109</v>
      </c>
      <c r="I12" t="s" s="20">
        <v>109</v>
      </c>
      <c r="J12" t="s" s="20">
        <v>109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108</v>
      </c>
      <c r="E13" t="s" s="20">
        <v>109</v>
      </c>
      <c r="F13" t="s" s="20">
        <v>110</v>
      </c>
      <c r="G13" t="s" s="20">
        <v>111</v>
      </c>
      <c r="H13" t="s" s="20">
        <v>119</v>
      </c>
      <c r="I13" t="s" s="20">
        <v>121</v>
      </c>
      <c r="J13" t="s" s="20">
        <v>122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115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115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170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108</v>
      </c>
      <c r="E10" t="s" s="20">
        <v>109</v>
      </c>
      <c r="F10" t="s" s="20">
        <v>110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115</v>
      </c>
      <c r="E12" t="s" s="20">
        <v>109</v>
      </c>
      <c r="F12" t="s" s="20">
        <v>116</v>
      </c>
      <c r="G12" t="s" s="20">
        <v>117</v>
      </c>
      <c r="H12" t="s" s="20">
        <v>109</v>
      </c>
      <c r="I12" t="s" s="20">
        <v>109</v>
      </c>
      <c r="J12" t="s" s="20">
        <v>109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108</v>
      </c>
      <c r="E13" t="s" s="20">
        <v>109</v>
      </c>
      <c r="F13" t="s" s="20">
        <v>110</v>
      </c>
      <c r="G13" t="s" s="20">
        <v>111</v>
      </c>
      <c r="H13" t="s" s="20">
        <v>119</v>
      </c>
      <c r="I13" t="s" s="20">
        <v>121</v>
      </c>
      <c r="J13" t="s" s="20">
        <v>122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125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171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120</v>
      </c>
      <c r="H9" t="s" s="20">
        <v>110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114</v>
      </c>
      <c r="E10" t="s" s="20">
        <v>109</v>
      </c>
      <c r="F10" t="s" s="20">
        <v>114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125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172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110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121</v>
      </c>
      <c r="E10" t="s" s="20">
        <v>109</v>
      </c>
      <c r="F10" t="s" s="20">
        <v>121</v>
      </c>
      <c r="G10" t="s" s="20">
        <v>111</v>
      </c>
      <c r="H10" t="s" s="20">
        <v>122</v>
      </c>
      <c r="I10" t="s" s="20">
        <v>109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108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114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173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108</v>
      </c>
      <c r="E10" t="s" s="20">
        <v>109</v>
      </c>
      <c r="F10" t="s" s="20">
        <v>110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115</v>
      </c>
      <c r="E12" t="s" s="20">
        <v>109</v>
      </c>
      <c r="F12" t="s" s="20">
        <v>116</v>
      </c>
      <c r="G12" t="s" s="20">
        <v>117</v>
      </c>
      <c r="H12" t="s" s="20">
        <v>109</v>
      </c>
      <c r="I12" t="s" s="20">
        <v>109</v>
      </c>
      <c r="J12" t="s" s="20">
        <v>109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108</v>
      </c>
      <c r="E13" t="s" s="20">
        <v>109</v>
      </c>
      <c r="F13" t="s" s="20">
        <v>110</v>
      </c>
      <c r="G13" t="s" s="20">
        <v>111</v>
      </c>
      <c r="H13" t="s" s="20">
        <v>119</v>
      </c>
      <c r="I13" t="s" s="20">
        <v>121</v>
      </c>
      <c r="J13" t="s" s="20">
        <v>122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108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174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112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110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121</v>
      </c>
      <c r="E10" t="s" s="20">
        <v>109</v>
      </c>
      <c r="F10" t="s" s="20">
        <v>121</v>
      </c>
      <c r="G10" t="s" s="20">
        <v>111</v>
      </c>
      <c r="H10" t="s" s="20">
        <v>122</v>
      </c>
      <c r="I10" t="s" s="20">
        <v>109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115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175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110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121</v>
      </c>
      <c r="E10" t="s" s="20">
        <v>109</v>
      </c>
      <c r="F10" t="s" s="20">
        <v>121</v>
      </c>
      <c r="G10" t="s" s="20">
        <v>111</v>
      </c>
      <c r="H10" t="s" s="20">
        <v>122</v>
      </c>
      <c r="I10" t="s" s="20">
        <v>109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125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115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176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108</v>
      </c>
      <c r="E10" t="s" s="20">
        <v>109</v>
      </c>
      <c r="F10" t="s" s="20">
        <v>110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115</v>
      </c>
      <c r="E12" t="s" s="20">
        <v>109</v>
      </c>
      <c r="F12" t="s" s="20">
        <v>116</v>
      </c>
      <c r="G12" t="s" s="20">
        <v>117</v>
      </c>
      <c r="H12" t="s" s="20">
        <v>109</v>
      </c>
      <c r="I12" t="s" s="20">
        <v>109</v>
      </c>
      <c r="J12" t="s" s="20">
        <v>109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108</v>
      </c>
      <c r="E13" t="s" s="20">
        <v>109</v>
      </c>
      <c r="F13" t="s" s="20">
        <v>110</v>
      </c>
      <c r="G13" t="s" s="20">
        <v>111</v>
      </c>
      <c r="H13" t="s" s="20">
        <v>119</v>
      </c>
      <c r="I13" t="s" s="20">
        <v>121</v>
      </c>
      <c r="J13" t="s" s="20">
        <v>122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113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115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177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120</v>
      </c>
      <c r="H9" t="s" s="20">
        <v>110</v>
      </c>
      <c r="I9" t="s" s="20">
        <v>109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114</v>
      </c>
      <c r="E10" t="s" s="20">
        <v>109</v>
      </c>
      <c r="F10" t="s" s="20">
        <v>114</v>
      </c>
      <c r="G10" t="s" s="20">
        <v>111</v>
      </c>
      <c r="H10" t="s" s="20">
        <v>121</v>
      </c>
      <c r="I10" t="s" s="20">
        <v>122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119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119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M131"/>
  <sheetViews>
    <sheetView workbookViewId="0">
      <pane ySplit="4.0" state="frozen" topLeftCell="A5" activePane="bottomLeft"/>
      <selection pane="bottomLeft"/>
    </sheetView>
  </sheetViews>
  <sheetFormatPr defaultRowHeight="15.0"/>
  <cols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12" max="12" width="3.0" customWidth="true"/>
    <col min="13" max="13" width="9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" max="1" width="16.0" customWidth="true"/>
    <col min="2" max="2" width="10.0" customWidth="true"/>
    <col min="3" max="3" width="9.0" customWidth="true"/>
    <col min="4" max="4" width="22.0" customWidth="true"/>
    <col min="5" max="5" width="16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1" ht="24.0" customHeight="true">
      <c r="A1" t="s" s="8">
        <v>178</v>
      </c>
    </row>
    <row r="2">
      <c r="A2" t="s" s="10">
        <v>92</v>
      </c>
    </row>
    <row r="4" ht="16.0" customHeight="true">
      <c r="A4" t="s" s="12">
        <v>93</v>
      </c>
      <c r="B4" t="s" s="12">
        <v>94</v>
      </c>
      <c r="C4" t="s" s="12">
        <v>95</v>
      </c>
      <c r="D4" t="s" s="13">
        <v>96</v>
      </c>
      <c r="E4" t="s" s="13">
        <v>97</v>
      </c>
      <c r="F4" t="s" s="13">
        <v>98</v>
      </c>
      <c r="G4" t="s" s="13">
        <v>99</v>
      </c>
      <c r="H4" t="s" s="13">
        <v>100</v>
      </c>
      <c r="I4" t="s" s="13">
        <v>101</v>
      </c>
      <c r="J4" t="s" s="13">
        <v>102</v>
      </c>
      <c r="K4" t="s" s="13">
        <v>103</v>
      </c>
      <c r="M4" t="s" s="9">
        <v>168</v>
      </c>
      <c r="U4" t="s" s="12">
        <v>104</v>
      </c>
      <c r="V4" t="s" s="12">
        <v>104</v>
      </c>
      <c r="W4" t="s" s="12">
        <v>104</v>
      </c>
      <c r="X4" t="s" s="12">
        <v>104</v>
      </c>
      <c r="Y4" t="s" s="12">
        <v>104</v>
      </c>
      <c r="Z4" t="s" s="12">
        <v>104</v>
      </c>
      <c r="AA4" t="s" s="12">
        <v>104</v>
      </c>
      <c r="AB4" t="s" s="12">
        <v>104</v>
      </c>
      <c r="AC4" t="s" s="12">
        <v>104</v>
      </c>
      <c r="AD4" t="s" s="12">
        <v>104</v>
      </c>
      <c r="AE4" t="s" s="12">
        <v>104</v>
      </c>
      <c r="AF4" t="s" s="12">
        <v>104</v>
      </c>
      <c r="AG4" t="s" s="12">
        <v>104</v>
      </c>
      <c r="AH4" t="s" s="12">
        <v>104</v>
      </c>
      <c r="AI4" t="s" s="12">
        <v>104</v>
      </c>
      <c r="AJ4" t="s" s="12">
        <v>104</v>
      </c>
      <c r="AK4" t="s" s="12">
        <v>104</v>
      </c>
      <c r="AL4" t="s" s="12">
        <v>104</v>
      </c>
      <c r="AM4" t="s" s="12">
        <v>104</v>
      </c>
    </row>
    <row r="5">
      <c r="A5" t="s" s="21">
        <v>105</v>
      </c>
      <c r="B5" t="s" s="21">
        <v>106</v>
      </c>
      <c r="C5" t="s" s="21">
        <v>107</v>
      </c>
      <c r="D5" t="s" s="20">
        <v>108</v>
      </c>
      <c r="E5" t="s" s="20">
        <v>109</v>
      </c>
      <c r="F5" t="s" s="20">
        <v>110</v>
      </c>
      <c r="G5" t="s" s="20">
        <v>111</v>
      </c>
      <c r="H5" t="s" s="20">
        <v>112</v>
      </c>
      <c r="I5" t="s" s="20">
        <v>113</v>
      </c>
      <c r="J5" t="s" s="20">
        <v>114</v>
      </c>
      <c r="K5" t="s" s="20">
        <v>109</v>
      </c>
      <c r="M5" t="s" s="12">
        <v>109</v>
      </c>
      <c r="N5" t="s" s="12">
        <v>106</v>
      </c>
      <c r="O5" t="s" s="12">
        <v>124</v>
      </c>
      <c r="P5" t="s" s="12">
        <v>126</v>
      </c>
      <c r="Q5" t="s" s="12">
        <v>127</v>
      </c>
      <c r="U5" s="23">
        <f>IF($A$5="","",$A$5&amp;"|"&amp;$B$5&amp;"|"&amp;$C$5)</f>
      </c>
      <c r="V5" s="23">
        <f>COUNTA($F$5:$K$5)</f>
      </c>
      <c r="W5" s="23">
        <f>IF($D$5="","OK",IFERROR(UPPER(INDIRECT("'Famille - "&amp;$D$5&amp;"'!"&amp;ADDRESS(10,(2+IF($A$5="Paire",0,1)*8+(MATCH($B$5,{"Lundi","Mardi","Jeudi","Vendredi"},0)-1)*2+IF($C$5="Matin",0,1))))),"OK"))</f>
      </c>
      <c r="X5" s="23">
        <f>IF($D$5="",0,IFERROR(INDIRECT("'Famille - "&amp;$D$5&amp;"'!"&amp;"$B$5"),0))</f>
      </c>
      <c r="Y5" s="23">
        <f>IF($V$5&gt;$X$5,$V$5-$X$5,0)</f>
      </c>
      <c r="Z5" s="23">
        <f>","&amp;_xlfn.TEXTJOIN(",",TRUE,$F$5:$K$5)&amp;","</f>
      </c>
      <c r="AA5" s="23">
        <f t="array" ref="AA5">IFERROR(INDEX($B$119:$B$131,SMALL(IF(INDEX($C$119:$R$131,0,MATCH($U$5,$C$118:$R$118,0))=1,ROW($B$119:$B$131)-ROW($B$119)+1),1)),"")</f>
      </c>
      <c r="AB5" s="23">
        <f t="array" ref="AB5">IFERROR(INDEX($B$119:$B$131,SMALL(IF(INDEX($C$119:$R$131,0,MATCH($U$5,$C$118:$R$118,0))=1,ROW($B$119:$B$131)-ROW($B$119)+1),2)),"")</f>
      </c>
      <c r="AC5" s="23">
        <f t="array" ref="AC5">IFERROR(INDEX($B$119:$B$131,SMALL(IF(INDEX($C$119:$R$131,0,MATCH($U$5,$C$118:$R$118,0))=1,ROW($B$119:$B$131)-ROW($B$119)+1),3)),"")</f>
      </c>
      <c r="AD5" s="23">
        <f t="array" ref="AD5">IFERROR(INDEX($B$119:$B$131,SMALL(IF(INDEX($C$119:$R$131,0,MATCH($U$5,$C$118:$R$118,0))=1,ROW($B$119:$B$131)-ROW($B$119)+1),4)),"")</f>
      </c>
      <c r="AE5" s="23">
        <f t="array" ref="AE5">IFERROR(INDEX($B$119:$B$131,SMALL(IF(INDEX($C$119:$R$131,0,MATCH($U$5,$C$118:$R$118,0))=1,ROW($B$119:$B$131)-ROW($B$119)+1),5)),"")</f>
      </c>
      <c r="AF5" s="23">
        <f t="array" ref="AF5">IFERROR(INDEX($B$119:$B$131,SMALL(IF(INDEX($C$119:$R$131,0,MATCH($U$5,$C$118:$R$118,0))=1,ROW($B$119:$B$131)-ROW($B$119)+1),6)),"")</f>
      </c>
      <c r="AG5" s="23">
        <f t="array" ref="AG5">IFERROR(INDEX($B$119:$B$131,SMALL(IF(INDEX($C$119:$R$131,0,MATCH($U$5,$C$118:$R$118,0))=1,ROW($B$119:$B$131)-ROW($B$119)+1),7)),"")</f>
      </c>
      <c r="AH5" s="23">
        <f t="array" ref="AH5">IFERROR(INDEX($B$119:$B$131,SMALL(IF(INDEX($C$119:$R$131,0,MATCH($U$5,$C$118:$R$118,0))=1,ROW($B$119:$B$131)-ROW($B$119)+1),8)),"")</f>
      </c>
      <c r="AI5" s="23">
        <f t="array" ref="AI5">IFERROR(INDEX($B$119:$B$131,SMALL(IF(INDEX($C$119:$R$131,0,MATCH($U$5,$C$118:$R$118,0))=1,ROW($B$119:$B$131)-ROW($B$119)+1),9)),"")</f>
      </c>
      <c r="AJ5" s="23">
        <f t="array" ref="AJ5">IFERROR(INDEX($B$119:$B$131,SMALL(IF(INDEX($C$119:$R$131,0,MATCH($U$5,$C$118:$R$118,0))=1,ROW($B$119:$B$131)-ROW($B$119)+1),10)),"")</f>
      </c>
      <c r="AK5" s="23">
        <f t="array" ref="AK5">IFERROR(INDEX($B$119:$B$131,SMALL(IF(INDEX($C$119:$R$131,0,MATCH($U$5,$C$118:$R$118,0))=1,ROW($B$119:$B$131)-ROW($B$119)+1),11)),"")</f>
      </c>
      <c r="AL5" s="23">
        <f t="array" ref="AL5">IFERROR(INDEX($B$119:$B$131,SMALL(IF(INDEX($C$119:$R$131,0,MATCH($U$5,$C$118:$R$118,0))=1,ROW($B$119:$B$131)-ROW($B$119)+1),12)),"")</f>
      </c>
      <c r="AM5" s="23">
        <f t="array" ref="AM5">IFERROR(INDEX($B$119:$B$131,SMALL(IF(INDEX($C$119:$R$131,0,MATCH($U$5,$C$118:$R$118,0))=1,ROW($B$119:$B$131)-ROW($B$119)+1),13)),"")</f>
      </c>
    </row>
    <row r="6" ht="90.0" customHeight="true">
      <c r="A6" t="s" s="21">
        <v>105</v>
      </c>
      <c r="B6" t="s" s="21">
        <v>106</v>
      </c>
      <c r="C6" t="s" s="21">
        <v>107</v>
      </c>
      <c r="D6" t="s" s="20">
        <v>115</v>
      </c>
      <c r="E6" t="s" s="20">
        <v>109</v>
      </c>
      <c r="F6" t="s" s="20">
        <v>116</v>
      </c>
      <c r="G6" t="s" s="20">
        <v>117</v>
      </c>
      <c r="H6" t="s" s="20">
        <v>118</v>
      </c>
      <c r="I6" t="s" s="20">
        <v>119</v>
      </c>
      <c r="J6" t="s" s="20">
        <v>109</v>
      </c>
      <c r="K6" t="s" s="20">
        <v>109</v>
      </c>
      <c r="M6" t="s" s="24">
        <v>107</v>
      </c>
      <c r="N6" s="25">
        <f t="array" ref="N6">_xlfn.TEXTJOIN(CHAR(10),TRUE,IF($U$5:$U$74="Paire|Lundi|Matin",$D$5:$D$74&amp;IF($E$5:$E$74="",""," @ "&amp;$E$5:$E$74)&amp;" ("&amp;SUBSTITUTE(MID($Z$5:$Z$74,2,LEN($Z$5:$Z$74)-2),",",", ")&amp;")",""))</f>
      </c>
      <c r="O6" s="25">
        <f t="array" ref="O6">_xlfn.TEXTJOIN(CHAR(10),TRUE,IF($U$5:$U$74="Paire|Mardi|Matin",$D$5:$D$74&amp;IF($E$5:$E$74="",""," @ "&amp;$E$5:$E$74)&amp;" ("&amp;SUBSTITUTE(MID($Z$5:$Z$74,2,LEN($Z$5:$Z$74)-2),",",", ")&amp;")",""))</f>
      </c>
      <c r="P6" s="25">
        <f t="array" ref="P6">_xlfn.TEXTJOIN(CHAR(10),TRUE,IF($U$5:$U$74="Paire|Jeudi|Matin",$D$5:$D$74&amp;IF($E$5:$E$74="",""," @ "&amp;$E$5:$E$74)&amp;" ("&amp;SUBSTITUTE(MID($Z$5:$Z$74,2,LEN($Z$5:$Z$74)-2),",",", ")&amp;")",""))</f>
      </c>
      <c r="Q6" s="25">
        <f t="array" ref="Q6">_xlfn.TEXTJOIN(CHAR(10),TRUE,IF($U$5:$U$74="Paire|Vendredi|Matin",$D$5:$D$74&amp;IF($E$5:$E$74="",""," @ "&amp;$E$5:$E$74)&amp;" ("&amp;SUBSTITUTE(MID($Z$5:$Z$74,2,LEN($Z$5:$Z$74)-2),",",", ")&amp;")",""))</f>
      </c>
      <c r="U6" s="23">
        <f>IF($A$6="","",$A$6&amp;"|"&amp;$B$6&amp;"|"&amp;$C$6)</f>
      </c>
      <c r="V6" s="23">
        <f>COUNTA($F$6:$K$6)</f>
      </c>
      <c r="W6" s="23">
        <f>IF($D$6="","OK",IFERROR(UPPER(INDIRECT("'Famille - "&amp;$D$6&amp;"'!"&amp;ADDRESS(10,(2+IF($A$6="Paire",0,1)*8+(MATCH($B$6,{"Lundi","Mardi","Jeudi","Vendredi"},0)-1)*2+IF($C$6="Matin",0,1))))),"OK"))</f>
      </c>
      <c r="X6" s="23">
        <f>IF($D$6="",0,IFERROR(INDIRECT("'Famille - "&amp;$D$6&amp;"'!"&amp;"$B$5"),0))</f>
      </c>
      <c r="Y6" s="23">
        <f>IF($V$6&gt;$X$6,$V$6-$X$6,0)</f>
      </c>
      <c r="Z6" s="23">
        <f>","&amp;_xlfn.TEXTJOIN(",",TRUE,$F$6:$K$6)&amp;","</f>
      </c>
      <c r="AA6" s="23">
        <f t="array" ref="AA6">IFERROR(INDEX($B$119:$B$131,SMALL(IF(INDEX($C$119:$R$131,0,MATCH($U$6,$C$118:$R$118,0))=1,ROW($B$119:$B$131)-ROW($B$119)+1),1)),"")</f>
      </c>
      <c r="AB6" s="23">
        <f t="array" ref="AB6">IFERROR(INDEX($B$119:$B$131,SMALL(IF(INDEX($C$119:$R$131,0,MATCH($U$6,$C$118:$R$118,0))=1,ROW($B$119:$B$131)-ROW($B$119)+1),2)),"")</f>
      </c>
      <c r="AC6" s="23">
        <f t="array" ref="AC6">IFERROR(INDEX($B$119:$B$131,SMALL(IF(INDEX($C$119:$R$131,0,MATCH($U$6,$C$118:$R$118,0))=1,ROW($B$119:$B$131)-ROW($B$119)+1),3)),"")</f>
      </c>
      <c r="AD6" s="23">
        <f t="array" ref="AD6">IFERROR(INDEX($B$119:$B$131,SMALL(IF(INDEX($C$119:$R$131,0,MATCH($U$6,$C$118:$R$118,0))=1,ROW($B$119:$B$131)-ROW($B$119)+1),4)),"")</f>
      </c>
      <c r="AE6" s="23">
        <f t="array" ref="AE6">IFERROR(INDEX($B$119:$B$131,SMALL(IF(INDEX($C$119:$R$131,0,MATCH($U$6,$C$118:$R$118,0))=1,ROW($B$119:$B$131)-ROW($B$119)+1),5)),"")</f>
      </c>
      <c r="AF6" s="23">
        <f t="array" ref="AF6">IFERROR(INDEX($B$119:$B$131,SMALL(IF(INDEX($C$119:$R$131,0,MATCH($U$6,$C$118:$R$118,0))=1,ROW($B$119:$B$131)-ROW($B$119)+1),6)),"")</f>
      </c>
      <c r="AG6" s="23">
        <f t="array" ref="AG6">IFERROR(INDEX($B$119:$B$131,SMALL(IF(INDEX($C$119:$R$131,0,MATCH($U$6,$C$118:$R$118,0))=1,ROW($B$119:$B$131)-ROW($B$119)+1),7)),"")</f>
      </c>
      <c r="AH6" s="23">
        <f t="array" ref="AH6">IFERROR(INDEX($B$119:$B$131,SMALL(IF(INDEX($C$119:$R$131,0,MATCH($U$6,$C$118:$R$118,0))=1,ROW($B$119:$B$131)-ROW($B$119)+1),8)),"")</f>
      </c>
      <c r="AI6" s="23">
        <f t="array" ref="AI6">IFERROR(INDEX($B$119:$B$131,SMALL(IF(INDEX($C$119:$R$131,0,MATCH($U$6,$C$118:$R$118,0))=1,ROW($B$119:$B$131)-ROW($B$119)+1),9)),"")</f>
      </c>
      <c r="AJ6" s="23">
        <f t="array" ref="AJ6">IFERROR(INDEX($B$119:$B$131,SMALL(IF(INDEX($C$119:$R$131,0,MATCH($U$6,$C$118:$R$118,0))=1,ROW($B$119:$B$131)-ROW($B$119)+1),10)),"")</f>
      </c>
      <c r="AK6" s="23">
        <f t="array" ref="AK6">IFERROR(INDEX($B$119:$B$131,SMALL(IF(INDEX($C$119:$R$131,0,MATCH($U$6,$C$118:$R$118,0))=1,ROW($B$119:$B$131)-ROW($B$119)+1),11)),"")</f>
      </c>
      <c r="AL6" s="23">
        <f t="array" ref="AL6">IFERROR(INDEX($B$119:$B$131,SMALL(IF(INDEX($C$119:$R$131,0,MATCH($U$6,$C$118:$R$118,0))=1,ROW($B$119:$B$131)-ROW($B$119)+1),12)),"")</f>
      </c>
      <c r="AM6" s="23">
        <f t="array" ref="AM6">IFERROR(INDEX($B$119:$B$131,SMALL(IF(INDEX($C$119:$R$131,0,MATCH($U$6,$C$118:$R$118,0))=1,ROW($B$119:$B$131)-ROW($B$119)+1),13)),"")</f>
      </c>
    </row>
    <row r="7" ht="90.0" customHeight="true">
      <c r="A7" t="s" s="21">
        <v>105</v>
      </c>
      <c r="B7" t="s" s="21">
        <v>106</v>
      </c>
      <c r="C7" t="s" s="21">
        <v>107</v>
      </c>
      <c r="D7" t="s" s="20">
        <v>120</v>
      </c>
      <c r="E7" t="s" s="20">
        <v>109</v>
      </c>
      <c r="F7" t="s" s="20">
        <v>120</v>
      </c>
      <c r="G7" t="s" s="20">
        <v>121</v>
      </c>
      <c r="H7" t="s" s="20">
        <v>122</v>
      </c>
      <c r="I7" t="s" s="20">
        <v>109</v>
      </c>
      <c r="J7" t="s" s="20">
        <v>109</v>
      </c>
      <c r="K7" t="s" s="20">
        <v>109</v>
      </c>
      <c r="M7" t="s" s="24">
        <v>123</v>
      </c>
      <c r="N7" s="25">
        <f t="array" ref="N7">_xlfn.TEXTJOIN(CHAR(10),TRUE,IF($U$5:$U$74="Paire|Lundi|Soir",$D$5:$D$74&amp;IF($E$5:$E$74="",""," @ "&amp;$E$5:$E$74)&amp;" ("&amp;SUBSTITUTE(MID($Z$5:$Z$74,2,LEN($Z$5:$Z$74)-2),",",", ")&amp;")",""))</f>
      </c>
      <c r="O7" s="25">
        <f t="array" ref="O7">_xlfn.TEXTJOIN(CHAR(10),TRUE,IF($U$5:$U$74="Paire|Mardi|Soir",$D$5:$D$74&amp;IF($E$5:$E$74="",""," @ "&amp;$E$5:$E$74)&amp;" ("&amp;SUBSTITUTE(MID($Z$5:$Z$74,2,LEN($Z$5:$Z$74)-2),",",", ")&amp;")",""))</f>
      </c>
      <c r="P7" s="25">
        <f t="array" ref="P7">_xlfn.TEXTJOIN(CHAR(10),TRUE,IF($U$5:$U$74="Paire|Jeudi|Soir",$D$5:$D$74&amp;IF($E$5:$E$74="",""," @ "&amp;$E$5:$E$74)&amp;" ("&amp;SUBSTITUTE(MID($Z$5:$Z$74,2,LEN($Z$5:$Z$74)-2),",",", ")&amp;")",""))</f>
      </c>
      <c r="Q7" s="25">
        <f t="array" ref="Q7">_xlfn.TEXTJOIN(CHAR(10),TRUE,IF($U$5:$U$74="Paire|Vendredi|Soir",$D$5:$D$74&amp;IF($E$5:$E$74="",""," @ "&amp;$E$5:$E$74)&amp;" ("&amp;SUBSTITUTE(MID($Z$5:$Z$74,2,LEN($Z$5:$Z$74)-2),",",", ")&amp;")",""))</f>
      </c>
      <c r="U7" s="23">
        <f>IF($A$7="","",$A$7&amp;"|"&amp;$B$7&amp;"|"&amp;$C$7)</f>
      </c>
      <c r="V7" s="23">
        <f>COUNTA($F$7:$K$7)</f>
      </c>
      <c r="W7" s="23">
        <f>IF($D$7="","OK",IFERROR(UPPER(INDIRECT("'Famille - "&amp;$D$7&amp;"'!"&amp;ADDRESS(10,(2+IF($A$7="Paire",0,1)*8+(MATCH($B$7,{"Lundi","Mardi","Jeudi","Vendredi"},0)-1)*2+IF($C$7="Matin",0,1))))),"OK"))</f>
      </c>
      <c r="X7" s="23">
        <f>IF($D$7="",0,IFERROR(INDIRECT("'Famille - "&amp;$D$7&amp;"'!"&amp;"$B$5"),0))</f>
      </c>
      <c r="Y7" s="23">
        <f>IF($V$7&gt;$X$7,$V$7-$X$7,0)</f>
      </c>
      <c r="Z7" s="23">
        <f>","&amp;_xlfn.TEXTJOIN(",",TRUE,$F$7:$K$7)&amp;","</f>
      </c>
      <c r="AA7" s="23">
        <f t="array" ref="AA7">IFERROR(INDEX($B$119:$B$131,SMALL(IF(INDEX($C$119:$R$131,0,MATCH($U$7,$C$118:$R$118,0))=1,ROW($B$119:$B$131)-ROW($B$119)+1),1)),"")</f>
      </c>
      <c r="AB7" s="23">
        <f t="array" ref="AB7">IFERROR(INDEX($B$119:$B$131,SMALL(IF(INDEX($C$119:$R$131,0,MATCH($U$7,$C$118:$R$118,0))=1,ROW($B$119:$B$131)-ROW($B$119)+1),2)),"")</f>
      </c>
      <c r="AC7" s="23">
        <f t="array" ref="AC7">IFERROR(INDEX($B$119:$B$131,SMALL(IF(INDEX($C$119:$R$131,0,MATCH($U$7,$C$118:$R$118,0))=1,ROW($B$119:$B$131)-ROW($B$119)+1),3)),"")</f>
      </c>
      <c r="AD7" s="23">
        <f t="array" ref="AD7">IFERROR(INDEX($B$119:$B$131,SMALL(IF(INDEX($C$119:$R$131,0,MATCH($U$7,$C$118:$R$118,0))=1,ROW($B$119:$B$131)-ROW($B$119)+1),4)),"")</f>
      </c>
      <c r="AE7" s="23">
        <f t="array" ref="AE7">IFERROR(INDEX($B$119:$B$131,SMALL(IF(INDEX($C$119:$R$131,0,MATCH($U$7,$C$118:$R$118,0))=1,ROW($B$119:$B$131)-ROW($B$119)+1),5)),"")</f>
      </c>
      <c r="AF7" s="23">
        <f t="array" ref="AF7">IFERROR(INDEX($B$119:$B$131,SMALL(IF(INDEX($C$119:$R$131,0,MATCH($U$7,$C$118:$R$118,0))=1,ROW($B$119:$B$131)-ROW($B$119)+1),6)),"")</f>
      </c>
      <c r="AG7" s="23">
        <f t="array" ref="AG7">IFERROR(INDEX($B$119:$B$131,SMALL(IF(INDEX($C$119:$R$131,0,MATCH($U$7,$C$118:$R$118,0))=1,ROW($B$119:$B$131)-ROW($B$119)+1),7)),"")</f>
      </c>
      <c r="AH7" s="23">
        <f t="array" ref="AH7">IFERROR(INDEX($B$119:$B$131,SMALL(IF(INDEX($C$119:$R$131,0,MATCH($U$7,$C$118:$R$118,0))=1,ROW($B$119:$B$131)-ROW($B$119)+1),8)),"")</f>
      </c>
      <c r="AI7" s="23">
        <f t="array" ref="AI7">IFERROR(INDEX($B$119:$B$131,SMALL(IF(INDEX($C$119:$R$131,0,MATCH($U$7,$C$118:$R$118,0))=1,ROW($B$119:$B$131)-ROW($B$119)+1),9)),"")</f>
      </c>
      <c r="AJ7" s="23">
        <f t="array" ref="AJ7">IFERROR(INDEX($B$119:$B$131,SMALL(IF(INDEX($C$119:$R$131,0,MATCH($U$7,$C$118:$R$118,0))=1,ROW($B$119:$B$131)-ROW($B$119)+1),10)),"")</f>
      </c>
      <c r="AK7" s="23">
        <f t="array" ref="AK7">IFERROR(INDEX($B$119:$B$131,SMALL(IF(INDEX($C$119:$R$131,0,MATCH($U$7,$C$118:$R$118,0))=1,ROW($B$119:$B$131)-ROW($B$119)+1),11)),"")</f>
      </c>
      <c r="AL7" s="23">
        <f t="array" ref="AL7">IFERROR(INDEX($B$119:$B$131,SMALL(IF(INDEX($C$119:$R$131,0,MATCH($U$7,$C$118:$R$118,0))=1,ROW($B$119:$B$131)-ROW($B$119)+1),12)),"")</f>
      </c>
      <c r="AM7" s="23">
        <f t="array" ref="AM7">IFERROR(INDEX($B$119:$B$131,SMALL(IF(INDEX($C$119:$R$131,0,MATCH($U$7,$C$118:$R$118,0))=1,ROW($B$119:$B$131)-ROW($B$119)+1),13)),"")</f>
      </c>
    </row>
    <row r="8">
      <c r="A8" t="s" s="21">
        <v>105</v>
      </c>
      <c r="B8" t="s" s="21">
        <v>106</v>
      </c>
      <c r="C8" t="s" s="21">
        <v>123</v>
      </c>
      <c r="D8" t="s" s="20">
        <v>115</v>
      </c>
      <c r="E8" t="s" s="20">
        <v>109</v>
      </c>
      <c r="F8" t="s" s="20">
        <v>116</v>
      </c>
      <c r="G8" t="s" s="20">
        <v>117</v>
      </c>
      <c r="H8" t="s" s="20">
        <v>112</v>
      </c>
      <c r="I8" t="s" s="20">
        <v>113</v>
      </c>
      <c r="J8" t="s" s="20">
        <v>109</v>
      </c>
      <c r="K8" t="s" s="20">
        <v>109</v>
      </c>
      <c r="U8" s="23">
        <f>IF($A$8="","",$A$8&amp;"|"&amp;$B$8&amp;"|"&amp;$C$8)</f>
      </c>
      <c r="V8" s="23">
        <f>COUNTA($F$8:$K$8)</f>
      </c>
      <c r="W8" s="23">
        <f>IF($D$8="","OK",IFERROR(UPPER(INDIRECT("'Famille - "&amp;$D$8&amp;"'!"&amp;ADDRESS(10,(2+IF($A$8="Paire",0,1)*8+(MATCH($B$8,{"Lundi","Mardi","Jeudi","Vendredi"},0)-1)*2+IF($C$8="Matin",0,1))))),"OK"))</f>
      </c>
      <c r="X8" s="23">
        <f>IF($D$8="",0,IFERROR(INDIRECT("'Famille - "&amp;$D$8&amp;"'!"&amp;"$B$5"),0))</f>
      </c>
      <c r="Y8" s="23">
        <f>IF($V$8&gt;$X$8,$V$8-$X$8,0)</f>
      </c>
      <c r="Z8" s="23">
        <f>","&amp;_xlfn.TEXTJOIN(",",TRUE,$F$8:$K$8)&amp;","</f>
      </c>
      <c r="AA8" s="23">
        <f t="array" ref="AA8">IFERROR(INDEX($B$119:$B$131,SMALL(IF(INDEX($C$119:$R$131,0,MATCH($U$8,$C$118:$R$118,0))=1,ROW($B$119:$B$131)-ROW($B$119)+1),1)),"")</f>
      </c>
      <c r="AB8" s="23">
        <f t="array" ref="AB8">IFERROR(INDEX($B$119:$B$131,SMALL(IF(INDEX($C$119:$R$131,0,MATCH($U$8,$C$118:$R$118,0))=1,ROW($B$119:$B$131)-ROW($B$119)+1),2)),"")</f>
      </c>
      <c r="AC8" s="23">
        <f t="array" ref="AC8">IFERROR(INDEX($B$119:$B$131,SMALL(IF(INDEX($C$119:$R$131,0,MATCH($U$8,$C$118:$R$118,0))=1,ROW($B$119:$B$131)-ROW($B$119)+1),3)),"")</f>
      </c>
      <c r="AD8" s="23">
        <f t="array" ref="AD8">IFERROR(INDEX($B$119:$B$131,SMALL(IF(INDEX($C$119:$R$131,0,MATCH($U$8,$C$118:$R$118,0))=1,ROW($B$119:$B$131)-ROW($B$119)+1),4)),"")</f>
      </c>
      <c r="AE8" s="23">
        <f t="array" ref="AE8">IFERROR(INDEX($B$119:$B$131,SMALL(IF(INDEX($C$119:$R$131,0,MATCH($U$8,$C$118:$R$118,0))=1,ROW($B$119:$B$131)-ROW($B$119)+1),5)),"")</f>
      </c>
      <c r="AF8" s="23">
        <f t="array" ref="AF8">IFERROR(INDEX($B$119:$B$131,SMALL(IF(INDEX($C$119:$R$131,0,MATCH($U$8,$C$118:$R$118,0))=1,ROW($B$119:$B$131)-ROW($B$119)+1),6)),"")</f>
      </c>
      <c r="AG8" s="23">
        <f t="array" ref="AG8">IFERROR(INDEX($B$119:$B$131,SMALL(IF(INDEX($C$119:$R$131,0,MATCH($U$8,$C$118:$R$118,0))=1,ROW($B$119:$B$131)-ROW($B$119)+1),7)),"")</f>
      </c>
      <c r="AH8" s="23">
        <f t="array" ref="AH8">IFERROR(INDEX($B$119:$B$131,SMALL(IF(INDEX($C$119:$R$131,0,MATCH($U$8,$C$118:$R$118,0))=1,ROW($B$119:$B$131)-ROW($B$119)+1),8)),"")</f>
      </c>
      <c r="AI8" s="23">
        <f t="array" ref="AI8">IFERROR(INDEX($B$119:$B$131,SMALL(IF(INDEX($C$119:$R$131,0,MATCH($U$8,$C$118:$R$118,0))=1,ROW($B$119:$B$131)-ROW($B$119)+1),9)),"")</f>
      </c>
      <c r="AJ8" s="23">
        <f t="array" ref="AJ8">IFERROR(INDEX($B$119:$B$131,SMALL(IF(INDEX($C$119:$R$131,0,MATCH($U$8,$C$118:$R$118,0))=1,ROW($B$119:$B$131)-ROW($B$119)+1),10)),"")</f>
      </c>
      <c r="AK8" s="23">
        <f t="array" ref="AK8">IFERROR(INDEX($B$119:$B$131,SMALL(IF(INDEX($C$119:$R$131,0,MATCH($U$8,$C$118:$R$118,0))=1,ROW($B$119:$B$131)-ROW($B$119)+1),11)),"")</f>
      </c>
      <c r="AL8" s="23">
        <f t="array" ref="AL8">IFERROR(INDEX($B$119:$B$131,SMALL(IF(INDEX($C$119:$R$131,0,MATCH($U$8,$C$118:$R$118,0))=1,ROW($B$119:$B$131)-ROW($B$119)+1),12)),"")</f>
      </c>
      <c r="AM8" s="23">
        <f t="array" ref="AM8">IFERROR(INDEX($B$119:$B$131,SMALL(IF(INDEX($C$119:$R$131,0,MATCH($U$8,$C$118:$R$118,0))=1,ROW($B$119:$B$131)-ROW($B$119)+1),13)),"")</f>
      </c>
    </row>
    <row r="9" ht="16.0" customHeight="true">
      <c r="A9" t="s" s="21">
        <v>105</v>
      </c>
      <c r="B9" t="s" s="21">
        <v>106</v>
      </c>
      <c r="C9" t="s" s="21">
        <v>123</v>
      </c>
      <c r="D9" t="s" s="20">
        <v>119</v>
      </c>
      <c r="E9" t="s" s="20">
        <v>109</v>
      </c>
      <c r="F9" t="s" s="20">
        <v>119</v>
      </c>
      <c r="G9" t="s" s="20">
        <v>114</v>
      </c>
      <c r="H9" t="s" s="20">
        <v>120</v>
      </c>
      <c r="I9" t="s" s="20">
        <v>110</v>
      </c>
      <c r="J9" t="s" s="20">
        <v>109</v>
      </c>
      <c r="K9" t="s" s="20">
        <v>109</v>
      </c>
      <c r="M9" t="s" s="9">
        <v>169</v>
      </c>
      <c r="U9" s="23">
        <f>IF($A$9="","",$A$9&amp;"|"&amp;$B$9&amp;"|"&amp;$C$9)</f>
      </c>
      <c r="V9" s="23">
        <f>COUNTA($F$9:$K$9)</f>
      </c>
      <c r="W9" s="23">
        <f>IF($D$9="","OK",IFERROR(UPPER(INDIRECT("'Famille - "&amp;$D$9&amp;"'!"&amp;ADDRESS(10,(2+IF($A$9="Paire",0,1)*8+(MATCH($B$9,{"Lundi","Mardi","Jeudi","Vendredi"},0)-1)*2+IF($C$9="Matin",0,1))))),"OK"))</f>
      </c>
      <c r="X9" s="23">
        <f>IF($D$9="",0,IFERROR(INDIRECT("'Famille - "&amp;$D$9&amp;"'!"&amp;"$B$5"),0))</f>
      </c>
      <c r="Y9" s="23">
        <f>IF($V$9&gt;$X$9,$V$9-$X$9,0)</f>
      </c>
      <c r="Z9" s="23">
        <f>","&amp;_xlfn.TEXTJOIN(",",TRUE,$F$9:$K$9)&amp;","</f>
      </c>
      <c r="AA9" s="23">
        <f t="array" ref="AA9">IFERROR(INDEX($B$119:$B$131,SMALL(IF(INDEX($C$119:$R$131,0,MATCH($U$9,$C$118:$R$118,0))=1,ROW($B$119:$B$131)-ROW($B$119)+1),1)),"")</f>
      </c>
      <c r="AB9" s="23">
        <f t="array" ref="AB9">IFERROR(INDEX($B$119:$B$131,SMALL(IF(INDEX($C$119:$R$131,0,MATCH($U$9,$C$118:$R$118,0))=1,ROW($B$119:$B$131)-ROW($B$119)+1),2)),"")</f>
      </c>
      <c r="AC9" s="23">
        <f t="array" ref="AC9">IFERROR(INDEX($B$119:$B$131,SMALL(IF(INDEX($C$119:$R$131,0,MATCH($U$9,$C$118:$R$118,0))=1,ROW($B$119:$B$131)-ROW($B$119)+1),3)),"")</f>
      </c>
      <c r="AD9" s="23">
        <f t="array" ref="AD9">IFERROR(INDEX($B$119:$B$131,SMALL(IF(INDEX($C$119:$R$131,0,MATCH($U$9,$C$118:$R$118,0))=1,ROW($B$119:$B$131)-ROW($B$119)+1),4)),"")</f>
      </c>
      <c r="AE9" s="23">
        <f t="array" ref="AE9">IFERROR(INDEX($B$119:$B$131,SMALL(IF(INDEX($C$119:$R$131,0,MATCH($U$9,$C$118:$R$118,0))=1,ROW($B$119:$B$131)-ROW($B$119)+1),5)),"")</f>
      </c>
      <c r="AF9" s="23">
        <f t="array" ref="AF9">IFERROR(INDEX($B$119:$B$131,SMALL(IF(INDEX($C$119:$R$131,0,MATCH($U$9,$C$118:$R$118,0))=1,ROW($B$119:$B$131)-ROW($B$119)+1),6)),"")</f>
      </c>
      <c r="AG9" s="23">
        <f t="array" ref="AG9">IFERROR(INDEX($B$119:$B$131,SMALL(IF(INDEX($C$119:$R$131,0,MATCH($U$9,$C$118:$R$118,0))=1,ROW($B$119:$B$131)-ROW($B$119)+1),7)),"")</f>
      </c>
      <c r="AH9" s="23">
        <f t="array" ref="AH9">IFERROR(INDEX($B$119:$B$131,SMALL(IF(INDEX($C$119:$R$131,0,MATCH($U$9,$C$118:$R$118,0))=1,ROW($B$119:$B$131)-ROW($B$119)+1),8)),"")</f>
      </c>
      <c r="AI9" s="23">
        <f t="array" ref="AI9">IFERROR(INDEX($B$119:$B$131,SMALL(IF(INDEX($C$119:$R$131,0,MATCH($U$9,$C$118:$R$118,0))=1,ROW($B$119:$B$131)-ROW($B$119)+1),9)),"")</f>
      </c>
      <c r="AJ9" s="23">
        <f t="array" ref="AJ9">IFERROR(INDEX($B$119:$B$131,SMALL(IF(INDEX($C$119:$R$131,0,MATCH($U$9,$C$118:$R$118,0))=1,ROW($B$119:$B$131)-ROW($B$119)+1),10)),"")</f>
      </c>
      <c r="AK9" s="23">
        <f t="array" ref="AK9">IFERROR(INDEX($B$119:$B$131,SMALL(IF(INDEX($C$119:$R$131,0,MATCH($U$9,$C$118:$R$118,0))=1,ROW($B$119:$B$131)-ROW($B$119)+1),11)),"")</f>
      </c>
      <c r="AL9" s="23">
        <f t="array" ref="AL9">IFERROR(INDEX($B$119:$B$131,SMALL(IF(INDEX($C$119:$R$131,0,MATCH($U$9,$C$118:$R$118,0))=1,ROW($B$119:$B$131)-ROW($B$119)+1),12)),"")</f>
      </c>
      <c r="AM9" s="23">
        <f t="array" ref="AM9">IFERROR(INDEX($B$119:$B$131,SMALL(IF(INDEX($C$119:$R$131,0,MATCH($U$9,$C$118:$R$118,0))=1,ROW($B$119:$B$131)-ROW($B$119)+1),13)),"")</f>
      </c>
    </row>
    <row r="10">
      <c r="A10" t="s" s="21">
        <v>105</v>
      </c>
      <c r="B10" t="s" s="21">
        <v>106</v>
      </c>
      <c r="C10" t="s" s="21">
        <v>123</v>
      </c>
      <c r="D10" t="s" s="20">
        <v>121</v>
      </c>
      <c r="E10" t="s" s="20">
        <v>109</v>
      </c>
      <c r="F10" t="s" s="20">
        <v>121</v>
      </c>
      <c r="G10" t="s" s="20">
        <v>111</v>
      </c>
      <c r="H10" t="s" s="20">
        <v>122</v>
      </c>
      <c r="I10" t="s" s="20">
        <v>109</v>
      </c>
      <c r="J10" t="s" s="20">
        <v>109</v>
      </c>
      <c r="K10" t="s" s="20">
        <v>109</v>
      </c>
      <c r="M10" t="s" s="12">
        <v>109</v>
      </c>
      <c r="N10" t="s" s="12">
        <v>106</v>
      </c>
      <c r="O10" t="s" s="12">
        <v>124</v>
      </c>
      <c r="P10" t="s" s="12">
        <v>126</v>
      </c>
      <c r="Q10" t="s" s="12">
        <v>127</v>
      </c>
      <c r="U10" s="23">
        <f>IF($A$10="","",$A$10&amp;"|"&amp;$B$10&amp;"|"&amp;$C$10)</f>
      </c>
      <c r="V10" s="23">
        <f>COUNTA($F$10:$K$10)</f>
      </c>
      <c r="W10" s="23">
        <f>IF($D$10="","OK",IFERROR(UPPER(INDIRECT("'Famille - "&amp;$D$10&amp;"'!"&amp;ADDRESS(10,(2+IF($A$10="Paire",0,1)*8+(MATCH($B$10,{"Lundi","Mardi","Jeudi","Vendredi"},0)-1)*2+IF($C$10="Matin",0,1))))),"OK"))</f>
      </c>
      <c r="X10" s="23">
        <f>IF($D$10="",0,IFERROR(INDIRECT("'Famille - "&amp;$D$10&amp;"'!"&amp;"$B$5"),0))</f>
      </c>
      <c r="Y10" s="23">
        <f>IF($V$10&gt;$X$10,$V$10-$X$10,0)</f>
      </c>
      <c r="Z10" s="23">
        <f>","&amp;_xlfn.TEXTJOIN(",",TRUE,$F$10:$K$10)&amp;","</f>
      </c>
      <c r="AA10" s="23">
        <f t="array" ref="AA10">IFERROR(INDEX($B$119:$B$131,SMALL(IF(INDEX($C$119:$R$131,0,MATCH($U$10,$C$118:$R$118,0))=1,ROW($B$119:$B$131)-ROW($B$119)+1),1)),"")</f>
      </c>
      <c r="AB10" s="23">
        <f t="array" ref="AB10">IFERROR(INDEX($B$119:$B$131,SMALL(IF(INDEX($C$119:$R$131,0,MATCH($U$10,$C$118:$R$118,0))=1,ROW($B$119:$B$131)-ROW($B$119)+1),2)),"")</f>
      </c>
      <c r="AC10" s="23">
        <f t="array" ref="AC10">IFERROR(INDEX($B$119:$B$131,SMALL(IF(INDEX($C$119:$R$131,0,MATCH($U$10,$C$118:$R$118,0))=1,ROW($B$119:$B$131)-ROW($B$119)+1),3)),"")</f>
      </c>
      <c r="AD10" s="23">
        <f t="array" ref="AD10">IFERROR(INDEX($B$119:$B$131,SMALL(IF(INDEX($C$119:$R$131,0,MATCH($U$10,$C$118:$R$118,0))=1,ROW($B$119:$B$131)-ROW($B$119)+1),4)),"")</f>
      </c>
      <c r="AE10" s="23">
        <f t="array" ref="AE10">IFERROR(INDEX($B$119:$B$131,SMALL(IF(INDEX($C$119:$R$131,0,MATCH($U$10,$C$118:$R$118,0))=1,ROW($B$119:$B$131)-ROW($B$119)+1),5)),"")</f>
      </c>
      <c r="AF10" s="23">
        <f t="array" ref="AF10">IFERROR(INDEX($B$119:$B$131,SMALL(IF(INDEX($C$119:$R$131,0,MATCH($U$10,$C$118:$R$118,0))=1,ROW($B$119:$B$131)-ROW($B$119)+1),6)),"")</f>
      </c>
      <c r="AG10" s="23">
        <f t="array" ref="AG10">IFERROR(INDEX($B$119:$B$131,SMALL(IF(INDEX($C$119:$R$131,0,MATCH($U$10,$C$118:$R$118,0))=1,ROW($B$119:$B$131)-ROW($B$119)+1),7)),"")</f>
      </c>
      <c r="AH10" s="23">
        <f t="array" ref="AH10">IFERROR(INDEX($B$119:$B$131,SMALL(IF(INDEX($C$119:$R$131,0,MATCH($U$10,$C$118:$R$118,0))=1,ROW($B$119:$B$131)-ROW($B$119)+1),8)),"")</f>
      </c>
      <c r="AI10" s="23">
        <f t="array" ref="AI10">IFERROR(INDEX($B$119:$B$131,SMALL(IF(INDEX($C$119:$R$131,0,MATCH($U$10,$C$118:$R$118,0))=1,ROW($B$119:$B$131)-ROW($B$119)+1),9)),"")</f>
      </c>
      <c r="AJ10" s="23">
        <f t="array" ref="AJ10">IFERROR(INDEX($B$119:$B$131,SMALL(IF(INDEX($C$119:$R$131,0,MATCH($U$10,$C$118:$R$118,0))=1,ROW($B$119:$B$131)-ROW($B$119)+1),10)),"")</f>
      </c>
      <c r="AK10" s="23">
        <f t="array" ref="AK10">IFERROR(INDEX($B$119:$B$131,SMALL(IF(INDEX($C$119:$R$131,0,MATCH($U$10,$C$118:$R$118,0))=1,ROW($B$119:$B$131)-ROW($B$119)+1),11)),"")</f>
      </c>
      <c r="AL10" s="23">
        <f t="array" ref="AL10">IFERROR(INDEX($B$119:$B$131,SMALL(IF(INDEX($C$119:$R$131,0,MATCH($U$10,$C$118:$R$118,0))=1,ROW($B$119:$B$131)-ROW($B$119)+1),12)),"")</f>
      </c>
      <c r="AM10" s="23">
        <f t="array" ref="AM10">IFERROR(INDEX($B$119:$B$131,SMALL(IF(INDEX($C$119:$R$131,0,MATCH($U$10,$C$118:$R$118,0))=1,ROW($B$119:$B$131)-ROW($B$119)+1),13)),"")</f>
      </c>
    </row>
    <row r="11" ht="90.0" customHeight="true">
      <c r="A11" t="s" s="21">
        <v>105</v>
      </c>
      <c r="B11" t="s" s="21">
        <v>124</v>
      </c>
      <c r="C11" t="s" s="21">
        <v>107</v>
      </c>
      <c r="D11" t="s" s="20">
        <v>113</v>
      </c>
      <c r="E11" t="s" s="20">
        <v>109</v>
      </c>
      <c r="F11" t="s" s="20">
        <v>113</v>
      </c>
      <c r="G11" t="s" s="20">
        <v>112</v>
      </c>
      <c r="H11" t="s" s="20">
        <v>114</v>
      </c>
      <c r="I11" t="s" s="20">
        <v>120</v>
      </c>
      <c r="J11" t="s" s="20">
        <v>109</v>
      </c>
      <c r="K11" t="s" s="20">
        <v>109</v>
      </c>
      <c r="M11" t="s" s="24">
        <v>107</v>
      </c>
      <c r="N11" s="25">
        <f t="array" ref="N11">_xlfn.TEXTJOIN(CHAR(10),TRUE,IF($U$5:$U$74="Impaire|Lundi|Matin",$D$5:$D$74&amp;IF($E$5:$E$74="",""," @ "&amp;$E$5:$E$74)&amp;" ("&amp;SUBSTITUTE(MID($Z$5:$Z$74,2,LEN($Z$5:$Z$74)-2),",",", ")&amp;")",""))</f>
      </c>
      <c r="O11" s="25">
        <f t="array" ref="O11">_xlfn.TEXTJOIN(CHAR(10),TRUE,IF($U$5:$U$74="Impaire|Mardi|Matin",$D$5:$D$74&amp;IF($E$5:$E$74="",""," @ "&amp;$E$5:$E$74)&amp;" ("&amp;SUBSTITUTE(MID($Z$5:$Z$74,2,LEN($Z$5:$Z$74)-2),",",", ")&amp;")",""))</f>
      </c>
      <c r="P11" s="25">
        <f t="array" ref="P11">_xlfn.TEXTJOIN(CHAR(10),TRUE,IF($U$5:$U$74="Impaire|Jeudi|Matin",$D$5:$D$74&amp;IF($E$5:$E$74="",""," @ "&amp;$E$5:$E$74)&amp;" ("&amp;SUBSTITUTE(MID($Z$5:$Z$74,2,LEN($Z$5:$Z$74)-2),",",", ")&amp;")",""))</f>
      </c>
      <c r="Q11" s="25">
        <f t="array" ref="Q11">_xlfn.TEXTJOIN(CHAR(10),TRUE,IF($U$5:$U$74="Impaire|Vendredi|Matin",$D$5:$D$74&amp;IF($E$5:$E$74="",""," @ "&amp;$E$5:$E$74)&amp;" ("&amp;SUBSTITUTE(MID($Z$5:$Z$74,2,LEN($Z$5:$Z$74)-2),",",", ")&amp;")",""))</f>
      </c>
      <c r="U11" s="23">
        <f>IF($A$11="","",$A$11&amp;"|"&amp;$B$11&amp;"|"&amp;$C$11)</f>
      </c>
      <c r="V11" s="23">
        <f>COUNTA($F$11:$K$11)</f>
      </c>
      <c r="W11" s="23">
        <f>IF($D$11="","OK",IFERROR(UPPER(INDIRECT("'Famille - "&amp;$D$11&amp;"'!"&amp;ADDRESS(10,(2+IF($A$11="Paire",0,1)*8+(MATCH($B$11,{"Lundi","Mardi","Jeudi","Vendredi"},0)-1)*2+IF($C$11="Matin",0,1))))),"OK"))</f>
      </c>
      <c r="X11" s="23">
        <f>IF($D$11="",0,IFERROR(INDIRECT("'Famille - "&amp;$D$11&amp;"'!"&amp;"$B$5"),0))</f>
      </c>
      <c r="Y11" s="23">
        <f>IF($V$11&gt;$X$11,$V$11-$X$11,0)</f>
      </c>
      <c r="Z11" s="23">
        <f>","&amp;_xlfn.TEXTJOIN(",",TRUE,$F$11:$K$11)&amp;","</f>
      </c>
      <c r="AA11" s="23">
        <f t="array" ref="AA11">IFERROR(INDEX($B$119:$B$131,SMALL(IF(INDEX($C$119:$R$131,0,MATCH($U$11,$C$118:$R$118,0))=1,ROW($B$119:$B$131)-ROW($B$119)+1),1)),"")</f>
      </c>
      <c r="AB11" s="23">
        <f t="array" ref="AB11">IFERROR(INDEX($B$119:$B$131,SMALL(IF(INDEX($C$119:$R$131,0,MATCH($U$11,$C$118:$R$118,0))=1,ROW($B$119:$B$131)-ROW($B$119)+1),2)),"")</f>
      </c>
      <c r="AC11" s="23">
        <f t="array" ref="AC11">IFERROR(INDEX($B$119:$B$131,SMALL(IF(INDEX($C$119:$R$131,0,MATCH($U$11,$C$118:$R$118,0))=1,ROW($B$119:$B$131)-ROW($B$119)+1),3)),"")</f>
      </c>
      <c r="AD11" s="23">
        <f t="array" ref="AD11">IFERROR(INDEX($B$119:$B$131,SMALL(IF(INDEX($C$119:$R$131,0,MATCH($U$11,$C$118:$R$118,0))=1,ROW($B$119:$B$131)-ROW($B$119)+1),4)),"")</f>
      </c>
      <c r="AE11" s="23">
        <f t="array" ref="AE11">IFERROR(INDEX($B$119:$B$131,SMALL(IF(INDEX($C$119:$R$131,0,MATCH($U$11,$C$118:$R$118,0))=1,ROW($B$119:$B$131)-ROW($B$119)+1),5)),"")</f>
      </c>
      <c r="AF11" s="23">
        <f t="array" ref="AF11">IFERROR(INDEX($B$119:$B$131,SMALL(IF(INDEX($C$119:$R$131,0,MATCH($U$11,$C$118:$R$118,0))=1,ROW($B$119:$B$131)-ROW($B$119)+1),6)),"")</f>
      </c>
      <c r="AG11" s="23">
        <f t="array" ref="AG11">IFERROR(INDEX($B$119:$B$131,SMALL(IF(INDEX($C$119:$R$131,0,MATCH($U$11,$C$118:$R$118,0))=1,ROW($B$119:$B$131)-ROW($B$119)+1),7)),"")</f>
      </c>
      <c r="AH11" s="23">
        <f t="array" ref="AH11">IFERROR(INDEX($B$119:$B$131,SMALL(IF(INDEX($C$119:$R$131,0,MATCH($U$11,$C$118:$R$118,0))=1,ROW($B$119:$B$131)-ROW($B$119)+1),8)),"")</f>
      </c>
      <c r="AI11" s="23">
        <f t="array" ref="AI11">IFERROR(INDEX($B$119:$B$131,SMALL(IF(INDEX($C$119:$R$131,0,MATCH($U$11,$C$118:$R$118,0))=1,ROW($B$119:$B$131)-ROW($B$119)+1),9)),"")</f>
      </c>
      <c r="AJ11" s="23">
        <f t="array" ref="AJ11">IFERROR(INDEX($B$119:$B$131,SMALL(IF(INDEX($C$119:$R$131,0,MATCH($U$11,$C$118:$R$118,0))=1,ROW($B$119:$B$131)-ROW($B$119)+1),10)),"")</f>
      </c>
      <c r="AK11" s="23">
        <f t="array" ref="AK11">IFERROR(INDEX($B$119:$B$131,SMALL(IF(INDEX($C$119:$R$131,0,MATCH($U$11,$C$118:$R$118,0))=1,ROW($B$119:$B$131)-ROW($B$119)+1),11)),"")</f>
      </c>
      <c r="AL11" s="23">
        <f t="array" ref="AL11">IFERROR(INDEX($B$119:$B$131,SMALL(IF(INDEX($C$119:$R$131,0,MATCH($U$11,$C$118:$R$118,0))=1,ROW($B$119:$B$131)-ROW($B$119)+1),12)),"")</f>
      </c>
      <c r="AM11" s="23">
        <f t="array" ref="AM11">IFERROR(INDEX($B$119:$B$131,SMALL(IF(INDEX($C$119:$R$131,0,MATCH($U$11,$C$118:$R$118,0))=1,ROW($B$119:$B$131)-ROW($B$119)+1),13)),"")</f>
      </c>
    </row>
    <row r="12" ht="90.0" customHeight="true">
      <c r="A12" t="s" s="21">
        <v>105</v>
      </c>
      <c r="B12" t="s" s="21">
        <v>124</v>
      </c>
      <c r="C12" t="s" s="21">
        <v>107</v>
      </c>
      <c r="D12" t="s" s="20">
        <v>108</v>
      </c>
      <c r="E12" t="s" s="20">
        <v>109</v>
      </c>
      <c r="F12" t="s" s="20">
        <v>110</v>
      </c>
      <c r="G12" t="s" s="20">
        <v>111</v>
      </c>
      <c r="H12" t="s" s="20">
        <v>119</v>
      </c>
      <c r="I12" t="s" s="20">
        <v>121</v>
      </c>
      <c r="J12" t="s" s="20">
        <v>122</v>
      </c>
      <c r="K12" t="s" s="20">
        <v>109</v>
      </c>
      <c r="M12" t="s" s="24">
        <v>123</v>
      </c>
      <c r="N12" s="25">
        <f t="array" ref="N12">_xlfn.TEXTJOIN(CHAR(10),TRUE,IF($U$5:$U$74="Impaire|Lundi|Soir",$D$5:$D$74&amp;IF($E$5:$E$74="",""," @ "&amp;$E$5:$E$74)&amp;" ("&amp;SUBSTITUTE(MID($Z$5:$Z$74,2,LEN($Z$5:$Z$74)-2),",",", ")&amp;")",""))</f>
      </c>
      <c r="O12" s="25">
        <f t="array" ref="O12">_xlfn.TEXTJOIN(CHAR(10),TRUE,IF($U$5:$U$74="Impaire|Mardi|Soir",$D$5:$D$74&amp;IF($E$5:$E$74="",""," @ "&amp;$E$5:$E$74)&amp;" ("&amp;SUBSTITUTE(MID($Z$5:$Z$74,2,LEN($Z$5:$Z$74)-2),",",", ")&amp;")",""))</f>
      </c>
      <c r="P12" s="25">
        <f t="array" ref="P12">_xlfn.TEXTJOIN(CHAR(10),TRUE,IF($U$5:$U$74="Impaire|Jeudi|Soir",$D$5:$D$74&amp;IF($E$5:$E$74="",""," @ "&amp;$E$5:$E$74)&amp;" ("&amp;SUBSTITUTE(MID($Z$5:$Z$74,2,LEN($Z$5:$Z$74)-2),",",", ")&amp;")",""))</f>
      </c>
      <c r="Q12" s="25">
        <f t="array" ref="Q12">_xlfn.TEXTJOIN(CHAR(10),TRUE,IF($U$5:$U$74="Impaire|Vendredi|Soir",$D$5:$D$74&amp;IF($E$5:$E$74="",""," @ "&amp;$E$5:$E$74)&amp;" ("&amp;SUBSTITUTE(MID($Z$5:$Z$74,2,LEN($Z$5:$Z$74)-2),",",", ")&amp;")",""))</f>
      </c>
      <c r="U12" s="23">
        <f>IF($A$12="","",$A$12&amp;"|"&amp;$B$12&amp;"|"&amp;$C$12)</f>
      </c>
      <c r="V12" s="23">
        <f>COUNTA($F$12:$K$12)</f>
      </c>
      <c r="W12" s="23">
        <f>IF($D$12="","OK",IFERROR(UPPER(INDIRECT("'Famille - "&amp;$D$12&amp;"'!"&amp;ADDRESS(10,(2+IF($A$12="Paire",0,1)*8+(MATCH($B$12,{"Lundi","Mardi","Jeudi","Vendredi"},0)-1)*2+IF($C$12="Matin",0,1))))),"OK"))</f>
      </c>
      <c r="X12" s="23">
        <f>IF($D$12="",0,IFERROR(INDIRECT("'Famille - "&amp;$D$12&amp;"'!"&amp;"$B$5"),0))</f>
      </c>
      <c r="Y12" s="23">
        <f>IF($V$12&gt;$X$12,$V$12-$X$12,0)</f>
      </c>
      <c r="Z12" s="23">
        <f>","&amp;_xlfn.TEXTJOIN(",",TRUE,$F$12:$K$12)&amp;","</f>
      </c>
      <c r="AA12" s="23">
        <f t="array" ref="AA12">IFERROR(INDEX($B$119:$B$131,SMALL(IF(INDEX($C$119:$R$131,0,MATCH($U$12,$C$118:$R$118,0))=1,ROW($B$119:$B$131)-ROW($B$119)+1),1)),"")</f>
      </c>
      <c r="AB12" s="23">
        <f t="array" ref="AB12">IFERROR(INDEX($B$119:$B$131,SMALL(IF(INDEX($C$119:$R$131,0,MATCH($U$12,$C$118:$R$118,0))=1,ROW($B$119:$B$131)-ROW($B$119)+1),2)),"")</f>
      </c>
      <c r="AC12" s="23">
        <f t="array" ref="AC12">IFERROR(INDEX($B$119:$B$131,SMALL(IF(INDEX($C$119:$R$131,0,MATCH($U$12,$C$118:$R$118,0))=1,ROW($B$119:$B$131)-ROW($B$119)+1),3)),"")</f>
      </c>
      <c r="AD12" s="23">
        <f t="array" ref="AD12">IFERROR(INDEX($B$119:$B$131,SMALL(IF(INDEX($C$119:$R$131,0,MATCH($U$12,$C$118:$R$118,0))=1,ROW($B$119:$B$131)-ROW($B$119)+1),4)),"")</f>
      </c>
      <c r="AE12" s="23">
        <f t="array" ref="AE12">IFERROR(INDEX($B$119:$B$131,SMALL(IF(INDEX($C$119:$R$131,0,MATCH($U$12,$C$118:$R$118,0))=1,ROW($B$119:$B$131)-ROW($B$119)+1),5)),"")</f>
      </c>
      <c r="AF12" s="23">
        <f t="array" ref="AF12">IFERROR(INDEX($B$119:$B$131,SMALL(IF(INDEX($C$119:$R$131,0,MATCH($U$12,$C$118:$R$118,0))=1,ROW($B$119:$B$131)-ROW($B$119)+1),6)),"")</f>
      </c>
      <c r="AG12" s="23">
        <f t="array" ref="AG12">IFERROR(INDEX($B$119:$B$131,SMALL(IF(INDEX($C$119:$R$131,0,MATCH($U$12,$C$118:$R$118,0))=1,ROW($B$119:$B$131)-ROW($B$119)+1),7)),"")</f>
      </c>
      <c r="AH12" s="23">
        <f t="array" ref="AH12">IFERROR(INDEX($B$119:$B$131,SMALL(IF(INDEX($C$119:$R$131,0,MATCH($U$12,$C$118:$R$118,0))=1,ROW($B$119:$B$131)-ROW($B$119)+1),8)),"")</f>
      </c>
      <c r="AI12" s="23">
        <f t="array" ref="AI12">IFERROR(INDEX($B$119:$B$131,SMALL(IF(INDEX($C$119:$R$131,0,MATCH($U$12,$C$118:$R$118,0))=1,ROW($B$119:$B$131)-ROW($B$119)+1),9)),"")</f>
      </c>
      <c r="AJ12" s="23">
        <f t="array" ref="AJ12">IFERROR(INDEX($B$119:$B$131,SMALL(IF(INDEX($C$119:$R$131,0,MATCH($U$12,$C$118:$R$118,0))=1,ROW($B$119:$B$131)-ROW($B$119)+1),10)),"")</f>
      </c>
      <c r="AK12" s="23">
        <f t="array" ref="AK12">IFERROR(INDEX($B$119:$B$131,SMALL(IF(INDEX($C$119:$R$131,0,MATCH($U$12,$C$118:$R$118,0))=1,ROW($B$119:$B$131)-ROW($B$119)+1),11)),"")</f>
      </c>
      <c r="AL12" s="23">
        <f t="array" ref="AL12">IFERROR(INDEX($B$119:$B$131,SMALL(IF(INDEX($C$119:$R$131,0,MATCH($U$12,$C$118:$R$118,0))=1,ROW($B$119:$B$131)-ROW($B$119)+1),12)),"")</f>
      </c>
      <c r="AM12" s="23">
        <f t="array" ref="AM12">IFERROR(INDEX($B$119:$B$131,SMALL(IF(INDEX($C$119:$R$131,0,MATCH($U$12,$C$118:$R$118,0))=1,ROW($B$119:$B$131)-ROW($B$119)+1),13)),"")</f>
      </c>
    </row>
    <row r="13">
      <c r="A13" t="s" s="21">
        <v>105</v>
      </c>
      <c r="B13" t="s" s="21">
        <v>124</v>
      </c>
      <c r="C13" t="s" s="21">
        <v>107</v>
      </c>
      <c r="D13" t="s" s="20">
        <v>115</v>
      </c>
      <c r="E13" t="s" s="20">
        <v>109</v>
      </c>
      <c r="F13" t="s" s="20">
        <v>116</v>
      </c>
      <c r="G13" t="s" s="20">
        <v>117</v>
      </c>
      <c r="H13" t="s" s="20">
        <v>109</v>
      </c>
      <c r="I13" t="s" s="20">
        <v>109</v>
      </c>
      <c r="J13" t="s" s="20">
        <v>109</v>
      </c>
      <c r="K13" t="s" s="20">
        <v>109</v>
      </c>
      <c r="U13" s="23">
        <f>IF($A$13="","",$A$13&amp;"|"&amp;$B$13&amp;"|"&amp;$C$13)</f>
      </c>
      <c r="V13" s="23">
        <f>COUNTA($F$13:$K$13)</f>
      </c>
      <c r="W13" s="23">
        <f>IF($D$13="","OK",IFERROR(UPPER(INDIRECT("'Famille - "&amp;$D$13&amp;"'!"&amp;ADDRESS(10,(2+IF($A$13="Paire",0,1)*8+(MATCH($B$13,{"Lundi","Mardi","Jeudi","Vendredi"},0)-1)*2+IF($C$13="Matin",0,1))))),"OK"))</f>
      </c>
      <c r="X13" s="23">
        <f>IF($D$13="",0,IFERROR(INDIRECT("'Famille - "&amp;$D$13&amp;"'!"&amp;"$B$5"),0))</f>
      </c>
      <c r="Y13" s="23">
        <f>IF($V$13&gt;$X$13,$V$13-$X$13,0)</f>
      </c>
      <c r="Z13" s="23">
        <f>","&amp;_xlfn.TEXTJOIN(",",TRUE,$F$13:$K$13)&amp;","</f>
      </c>
      <c r="AA13" s="23">
        <f t="array" ref="AA13">IFERROR(INDEX($B$119:$B$131,SMALL(IF(INDEX($C$119:$R$131,0,MATCH($U$13,$C$118:$R$118,0))=1,ROW($B$119:$B$131)-ROW($B$119)+1),1)),"")</f>
      </c>
      <c r="AB13" s="23">
        <f t="array" ref="AB13">IFERROR(INDEX($B$119:$B$131,SMALL(IF(INDEX($C$119:$R$131,0,MATCH($U$13,$C$118:$R$118,0))=1,ROW($B$119:$B$131)-ROW($B$119)+1),2)),"")</f>
      </c>
      <c r="AC13" s="23">
        <f t="array" ref="AC13">IFERROR(INDEX($B$119:$B$131,SMALL(IF(INDEX($C$119:$R$131,0,MATCH($U$13,$C$118:$R$118,0))=1,ROW($B$119:$B$131)-ROW($B$119)+1),3)),"")</f>
      </c>
      <c r="AD13" s="23">
        <f t="array" ref="AD13">IFERROR(INDEX($B$119:$B$131,SMALL(IF(INDEX($C$119:$R$131,0,MATCH($U$13,$C$118:$R$118,0))=1,ROW($B$119:$B$131)-ROW($B$119)+1),4)),"")</f>
      </c>
      <c r="AE13" s="23">
        <f t="array" ref="AE13">IFERROR(INDEX($B$119:$B$131,SMALL(IF(INDEX($C$119:$R$131,0,MATCH($U$13,$C$118:$R$118,0))=1,ROW($B$119:$B$131)-ROW($B$119)+1),5)),"")</f>
      </c>
      <c r="AF13" s="23">
        <f t="array" ref="AF13">IFERROR(INDEX($B$119:$B$131,SMALL(IF(INDEX($C$119:$R$131,0,MATCH($U$13,$C$118:$R$118,0))=1,ROW($B$119:$B$131)-ROW($B$119)+1),6)),"")</f>
      </c>
      <c r="AG13" s="23">
        <f t="array" ref="AG13">IFERROR(INDEX($B$119:$B$131,SMALL(IF(INDEX($C$119:$R$131,0,MATCH($U$13,$C$118:$R$118,0))=1,ROW($B$119:$B$131)-ROW($B$119)+1),7)),"")</f>
      </c>
      <c r="AH13" s="23">
        <f t="array" ref="AH13">IFERROR(INDEX($B$119:$B$131,SMALL(IF(INDEX($C$119:$R$131,0,MATCH($U$13,$C$118:$R$118,0))=1,ROW($B$119:$B$131)-ROW($B$119)+1),8)),"")</f>
      </c>
      <c r="AI13" s="23">
        <f t="array" ref="AI13">IFERROR(INDEX($B$119:$B$131,SMALL(IF(INDEX($C$119:$R$131,0,MATCH($U$13,$C$118:$R$118,0))=1,ROW($B$119:$B$131)-ROW($B$119)+1),9)),"")</f>
      </c>
      <c r="AJ13" s="23">
        <f t="array" ref="AJ13">IFERROR(INDEX($B$119:$B$131,SMALL(IF(INDEX($C$119:$R$131,0,MATCH($U$13,$C$118:$R$118,0))=1,ROW($B$119:$B$131)-ROW($B$119)+1),10)),"")</f>
      </c>
      <c r="AK13" s="23">
        <f t="array" ref="AK13">IFERROR(INDEX($B$119:$B$131,SMALL(IF(INDEX($C$119:$R$131,0,MATCH($U$13,$C$118:$R$118,0))=1,ROW($B$119:$B$131)-ROW($B$119)+1),11)),"")</f>
      </c>
      <c r="AL13" s="23">
        <f t="array" ref="AL13">IFERROR(INDEX($B$119:$B$131,SMALL(IF(INDEX($C$119:$R$131,0,MATCH($U$13,$C$118:$R$118,0))=1,ROW($B$119:$B$131)-ROW($B$119)+1),12)),"")</f>
      </c>
      <c r="AM13" s="23">
        <f t="array" ref="AM13">IFERROR(INDEX($B$119:$B$131,SMALL(IF(INDEX($C$119:$R$131,0,MATCH($U$13,$C$118:$R$118,0))=1,ROW($B$119:$B$131)-ROW($B$119)+1),13)),"")</f>
      </c>
    </row>
    <row r="14">
      <c r="A14" t="s" s="21">
        <v>105</v>
      </c>
      <c r="B14" t="s" s="21">
        <v>124</v>
      </c>
      <c r="C14" t="s" s="21">
        <v>123</v>
      </c>
      <c r="D14" t="s" s="20">
        <v>115</v>
      </c>
      <c r="E14" t="s" s="20">
        <v>109</v>
      </c>
      <c r="F14" t="s" s="20">
        <v>116</v>
      </c>
      <c r="G14" t="s" s="20">
        <v>117</v>
      </c>
      <c r="H14" t="s" s="20">
        <v>125</v>
      </c>
      <c r="I14" t="s" s="20">
        <v>112</v>
      </c>
      <c r="J14" t="s" s="20">
        <v>109</v>
      </c>
      <c r="K14" t="s" s="20">
        <v>109</v>
      </c>
      <c r="U14" s="23">
        <f>IF($A$14="","",$A$14&amp;"|"&amp;$B$14&amp;"|"&amp;$C$14)</f>
      </c>
      <c r="V14" s="23">
        <f>COUNTA($F$14:$K$14)</f>
      </c>
      <c r="W14" s="23">
        <f>IF($D$14="","OK",IFERROR(UPPER(INDIRECT("'Famille - "&amp;$D$14&amp;"'!"&amp;ADDRESS(10,(2+IF($A$14="Paire",0,1)*8+(MATCH($B$14,{"Lundi","Mardi","Jeudi","Vendredi"},0)-1)*2+IF($C$14="Matin",0,1))))),"OK"))</f>
      </c>
      <c r="X14" s="23">
        <f>IF($D$14="",0,IFERROR(INDIRECT("'Famille - "&amp;$D$14&amp;"'!"&amp;"$B$5"),0))</f>
      </c>
      <c r="Y14" s="23">
        <f>IF($V$14&gt;$X$14,$V$14-$X$14,0)</f>
      </c>
      <c r="Z14" s="23">
        <f>","&amp;_xlfn.TEXTJOIN(",",TRUE,$F$14:$K$14)&amp;","</f>
      </c>
      <c r="AA14" s="23">
        <f t="array" ref="AA14">IFERROR(INDEX($B$119:$B$131,SMALL(IF(INDEX($C$119:$R$131,0,MATCH($U$14,$C$118:$R$118,0))=1,ROW($B$119:$B$131)-ROW($B$119)+1),1)),"")</f>
      </c>
      <c r="AB14" s="23">
        <f t="array" ref="AB14">IFERROR(INDEX($B$119:$B$131,SMALL(IF(INDEX($C$119:$R$131,0,MATCH($U$14,$C$118:$R$118,0))=1,ROW($B$119:$B$131)-ROW($B$119)+1),2)),"")</f>
      </c>
      <c r="AC14" s="23">
        <f t="array" ref="AC14">IFERROR(INDEX($B$119:$B$131,SMALL(IF(INDEX($C$119:$R$131,0,MATCH($U$14,$C$118:$R$118,0))=1,ROW($B$119:$B$131)-ROW($B$119)+1),3)),"")</f>
      </c>
      <c r="AD14" s="23">
        <f t="array" ref="AD14">IFERROR(INDEX($B$119:$B$131,SMALL(IF(INDEX($C$119:$R$131,0,MATCH($U$14,$C$118:$R$118,0))=1,ROW($B$119:$B$131)-ROW($B$119)+1),4)),"")</f>
      </c>
      <c r="AE14" s="23">
        <f t="array" ref="AE14">IFERROR(INDEX($B$119:$B$131,SMALL(IF(INDEX($C$119:$R$131,0,MATCH($U$14,$C$118:$R$118,0))=1,ROW($B$119:$B$131)-ROW($B$119)+1),5)),"")</f>
      </c>
      <c r="AF14" s="23">
        <f t="array" ref="AF14">IFERROR(INDEX($B$119:$B$131,SMALL(IF(INDEX($C$119:$R$131,0,MATCH($U$14,$C$118:$R$118,0))=1,ROW($B$119:$B$131)-ROW($B$119)+1),6)),"")</f>
      </c>
      <c r="AG14" s="23">
        <f t="array" ref="AG14">IFERROR(INDEX($B$119:$B$131,SMALL(IF(INDEX($C$119:$R$131,0,MATCH($U$14,$C$118:$R$118,0))=1,ROW($B$119:$B$131)-ROW($B$119)+1),7)),"")</f>
      </c>
      <c r="AH14" s="23">
        <f t="array" ref="AH14">IFERROR(INDEX($B$119:$B$131,SMALL(IF(INDEX($C$119:$R$131,0,MATCH($U$14,$C$118:$R$118,0))=1,ROW($B$119:$B$131)-ROW($B$119)+1),8)),"")</f>
      </c>
      <c r="AI14" s="23">
        <f t="array" ref="AI14">IFERROR(INDEX($B$119:$B$131,SMALL(IF(INDEX($C$119:$R$131,0,MATCH($U$14,$C$118:$R$118,0))=1,ROW($B$119:$B$131)-ROW($B$119)+1),9)),"")</f>
      </c>
      <c r="AJ14" s="23">
        <f t="array" ref="AJ14">IFERROR(INDEX($B$119:$B$131,SMALL(IF(INDEX($C$119:$R$131,0,MATCH($U$14,$C$118:$R$118,0))=1,ROW($B$119:$B$131)-ROW($B$119)+1),10)),"")</f>
      </c>
      <c r="AK14" s="23">
        <f t="array" ref="AK14">IFERROR(INDEX($B$119:$B$131,SMALL(IF(INDEX($C$119:$R$131,0,MATCH($U$14,$C$118:$R$118,0))=1,ROW($B$119:$B$131)-ROW($B$119)+1),11)),"")</f>
      </c>
      <c r="AL14" s="23">
        <f t="array" ref="AL14">IFERROR(INDEX($B$119:$B$131,SMALL(IF(INDEX($C$119:$R$131,0,MATCH($U$14,$C$118:$R$118,0))=1,ROW($B$119:$B$131)-ROW($B$119)+1),12)),"")</f>
      </c>
      <c r="AM14" s="23">
        <f t="array" ref="AM14">IFERROR(INDEX($B$119:$B$131,SMALL(IF(INDEX($C$119:$R$131,0,MATCH($U$14,$C$118:$R$118,0))=1,ROW($B$119:$B$131)-ROW($B$119)+1),13)),"")</f>
      </c>
    </row>
    <row r="15">
      <c r="A15" t="s" s="21">
        <v>105</v>
      </c>
      <c r="B15" t="s" s="21">
        <v>124</v>
      </c>
      <c r="C15" t="s" s="21">
        <v>123</v>
      </c>
      <c r="D15" t="s" s="20">
        <v>122</v>
      </c>
      <c r="E15" t="s" s="20">
        <v>109</v>
      </c>
      <c r="F15" t="s" s="20">
        <v>122</v>
      </c>
      <c r="G15" t="s" s="20">
        <v>113</v>
      </c>
      <c r="H15" t="s" s="20">
        <v>114</v>
      </c>
      <c r="I15" t="s" s="20">
        <v>120</v>
      </c>
      <c r="J15" t="s" s="20">
        <v>109</v>
      </c>
      <c r="K15" t="s" s="20">
        <v>109</v>
      </c>
      <c r="U15" s="23">
        <f>IF($A$15="","",$A$15&amp;"|"&amp;$B$15&amp;"|"&amp;$C$15)</f>
      </c>
      <c r="V15" s="23">
        <f>COUNTA($F$15:$K$15)</f>
      </c>
      <c r="W15" s="23">
        <f>IF($D$15="","OK",IFERROR(UPPER(INDIRECT("'Famille - "&amp;$D$15&amp;"'!"&amp;ADDRESS(10,(2+IF($A$15="Paire",0,1)*8+(MATCH($B$15,{"Lundi","Mardi","Jeudi","Vendredi"},0)-1)*2+IF($C$15="Matin",0,1))))),"OK"))</f>
      </c>
      <c r="X15" s="23">
        <f>IF($D$15="",0,IFERROR(INDIRECT("'Famille - "&amp;$D$15&amp;"'!"&amp;"$B$5"),0))</f>
      </c>
      <c r="Y15" s="23">
        <f>IF($V$15&gt;$X$15,$V$15-$X$15,0)</f>
      </c>
      <c r="Z15" s="23">
        <f>","&amp;_xlfn.TEXTJOIN(",",TRUE,$F$15:$K$15)&amp;","</f>
      </c>
      <c r="AA15" s="23">
        <f t="array" ref="AA15">IFERROR(INDEX($B$119:$B$131,SMALL(IF(INDEX($C$119:$R$131,0,MATCH($U$15,$C$118:$R$118,0))=1,ROW($B$119:$B$131)-ROW($B$119)+1),1)),"")</f>
      </c>
      <c r="AB15" s="23">
        <f t="array" ref="AB15">IFERROR(INDEX($B$119:$B$131,SMALL(IF(INDEX($C$119:$R$131,0,MATCH($U$15,$C$118:$R$118,0))=1,ROW($B$119:$B$131)-ROW($B$119)+1),2)),"")</f>
      </c>
      <c r="AC15" s="23">
        <f t="array" ref="AC15">IFERROR(INDEX($B$119:$B$131,SMALL(IF(INDEX($C$119:$R$131,0,MATCH($U$15,$C$118:$R$118,0))=1,ROW($B$119:$B$131)-ROW($B$119)+1),3)),"")</f>
      </c>
      <c r="AD15" s="23">
        <f t="array" ref="AD15">IFERROR(INDEX($B$119:$B$131,SMALL(IF(INDEX($C$119:$R$131,0,MATCH($U$15,$C$118:$R$118,0))=1,ROW($B$119:$B$131)-ROW($B$119)+1),4)),"")</f>
      </c>
      <c r="AE15" s="23">
        <f t="array" ref="AE15">IFERROR(INDEX($B$119:$B$131,SMALL(IF(INDEX($C$119:$R$131,0,MATCH($U$15,$C$118:$R$118,0))=1,ROW($B$119:$B$131)-ROW($B$119)+1),5)),"")</f>
      </c>
      <c r="AF15" s="23">
        <f t="array" ref="AF15">IFERROR(INDEX($B$119:$B$131,SMALL(IF(INDEX($C$119:$R$131,0,MATCH($U$15,$C$118:$R$118,0))=1,ROW($B$119:$B$131)-ROW($B$119)+1),6)),"")</f>
      </c>
      <c r="AG15" s="23">
        <f t="array" ref="AG15">IFERROR(INDEX($B$119:$B$131,SMALL(IF(INDEX($C$119:$R$131,0,MATCH($U$15,$C$118:$R$118,0))=1,ROW($B$119:$B$131)-ROW($B$119)+1),7)),"")</f>
      </c>
      <c r="AH15" s="23">
        <f t="array" ref="AH15">IFERROR(INDEX($B$119:$B$131,SMALL(IF(INDEX($C$119:$R$131,0,MATCH($U$15,$C$118:$R$118,0))=1,ROW($B$119:$B$131)-ROW($B$119)+1),8)),"")</f>
      </c>
      <c r="AI15" s="23">
        <f t="array" ref="AI15">IFERROR(INDEX($B$119:$B$131,SMALL(IF(INDEX($C$119:$R$131,0,MATCH($U$15,$C$118:$R$118,0))=1,ROW($B$119:$B$131)-ROW($B$119)+1),9)),"")</f>
      </c>
      <c r="AJ15" s="23">
        <f t="array" ref="AJ15">IFERROR(INDEX($B$119:$B$131,SMALL(IF(INDEX($C$119:$R$131,0,MATCH($U$15,$C$118:$R$118,0))=1,ROW($B$119:$B$131)-ROW($B$119)+1),10)),"")</f>
      </c>
      <c r="AK15" s="23">
        <f t="array" ref="AK15">IFERROR(INDEX($B$119:$B$131,SMALL(IF(INDEX($C$119:$R$131,0,MATCH($U$15,$C$118:$R$118,0))=1,ROW($B$119:$B$131)-ROW($B$119)+1),11)),"")</f>
      </c>
      <c r="AL15" s="23">
        <f t="array" ref="AL15">IFERROR(INDEX($B$119:$B$131,SMALL(IF(INDEX($C$119:$R$131,0,MATCH($U$15,$C$118:$R$118,0))=1,ROW($B$119:$B$131)-ROW($B$119)+1),12)),"")</f>
      </c>
      <c r="AM15" s="23">
        <f t="array" ref="AM15">IFERROR(INDEX($B$119:$B$131,SMALL(IF(INDEX($C$119:$R$131,0,MATCH($U$15,$C$118:$R$118,0))=1,ROW($B$119:$B$131)-ROW($B$119)+1),13)),"")</f>
      </c>
    </row>
    <row r="16">
      <c r="A16" t="s" s="21">
        <v>105</v>
      </c>
      <c r="B16" t="s" s="21">
        <v>124</v>
      </c>
      <c r="C16" t="s" s="21">
        <v>123</v>
      </c>
      <c r="D16" t="s" s="20">
        <v>108</v>
      </c>
      <c r="E16" t="s" s="20">
        <v>109</v>
      </c>
      <c r="F16" t="s" s="20">
        <v>110</v>
      </c>
      <c r="G16" t="s" s="20">
        <v>111</v>
      </c>
      <c r="H16" t="s" s="20">
        <v>119</v>
      </c>
      <c r="I16" t="s" s="20">
        <v>121</v>
      </c>
      <c r="J16" t="s" s="20">
        <v>109</v>
      </c>
      <c r="K16" t="s" s="20">
        <v>109</v>
      </c>
      <c r="U16" s="23">
        <f>IF($A$16="","",$A$16&amp;"|"&amp;$B$16&amp;"|"&amp;$C$16)</f>
      </c>
      <c r="V16" s="23">
        <f>COUNTA($F$16:$K$16)</f>
      </c>
      <c r="W16" s="23">
        <f>IF($D$16="","OK",IFERROR(UPPER(INDIRECT("'Famille - "&amp;$D$16&amp;"'!"&amp;ADDRESS(10,(2+IF($A$16="Paire",0,1)*8+(MATCH($B$16,{"Lundi","Mardi","Jeudi","Vendredi"},0)-1)*2+IF($C$16="Matin",0,1))))),"OK"))</f>
      </c>
      <c r="X16" s="23">
        <f>IF($D$16="",0,IFERROR(INDIRECT("'Famille - "&amp;$D$16&amp;"'!"&amp;"$B$5"),0))</f>
      </c>
      <c r="Y16" s="23">
        <f>IF($V$16&gt;$X$16,$V$16-$X$16,0)</f>
      </c>
      <c r="Z16" s="23">
        <f>","&amp;_xlfn.TEXTJOIN(",",TRUE,$F$16:$K$16)&amp;","</f>
      </c>
      <c r="AA16" s="23">
        <f t="array" ref="AA16">IFERROR(INDEX($B$119:$B$131,SMALL(IF(INDEX($C$119:$R$131,0,MATCH($U$16,$C$118:$R$118,0))=1,ROW($B$119:$B$131)-ROW($B$119)+1),1)),"")</f>
      </c>
      <c r="AB16" s="23">
        <f t="array" ref="AB16">IFERROR(INDEX($B$119:$B$131,SMALL(IF(INDEX($C$119:$R$131,0,MATCH($U$16,$C$118:$R$118,0))=1,ROW($B$119:$B$131)-ROW($B$119)+1),2)),"")</f>
      </c>
      <c r="AC16" s="23">
        <f t="array" ref="AC16">IFERROR(INDEX($B$119:$B$131,SMALL(IF(INDEX($C$119:$R$131,0,MATCH($U$16,$C$118:$R$118,0))=1,ROW($B$119:$B$131)-ROW($B$119)+1),3)),"")</f>
      </c>
      <c r="AD16" s="23">
        <f t="array" ref="AD16">IFERROR(INDEX($B$119:$B$131,SMALL(IF(INDEX($C$119:$R$131,0,MATCH($U$16,$C$118:$R$118,0))=1,ROW($B$119:$B$131)-ROW($B$119)+1),4)),"")</f>
      </c>
      <c r="AE16" s="23">
        <f t="array" ref="AE16">IFERROR(INDEX($B$119:$B$131,SMALL(IF(INDEX($C$119:$R$131,0,MATCH($U$16,$C$118:$R$118,0))=1,ROW($B$119:$B$131)-ROW($B$119)+1),5)),"")</f>
      </c>
      <c r="AF16" s="23">
        <f t="array" ref="AF16">IFERROR(INDEX($B$119:$B$131,SMALL(IF(INDEX($C$119:$R$131,0,MATCH($U$16,$C$118:$R$118,0))=1,ROW($B$119:$B$131)-ROW($B$119)+1),6)),"")</f>
      </c>
      <c r="AG16" s="23">
        <f t="array" ref="AG16">IFERROR(INDEX($B$119:$B$131,SMALL(IF(INDEX($C$119:$R$131,0,MATCH($U$16,$C$118:$R$118,0))=1,ROW($B$119:$B$131)-ROW($B$119)+1),7)),"")</f>
      </c>
      <c r="AH16" s="23">
        <f t="array" ref="AH16">IFERROR(INDEX($B$119:$B$131,SMALL(IF(INDEX($C$119:$R$131,0,MATCH($U$16,$C$118:$R$118,0))=1,ROW($B$119:$B$131)-ROW($B$119)+1),8)),"")</f>
      </c>
      <c r="AI16" s="23">
        <f t="array" ref="AI16">IFERROR(INDEX($B$119:$B$131,SMALL(IF(INDEX($C$119:$R$131,0,MATCH($U$16,$C$118:$R$118,0))=1,ROW($B$119:$B$131)-ROW($B$119)+1),9)),"")</f>
      </c>
      <c r="AJ16" s="23">
        <f t="array" ref="AJ16">IFERROR(INDEX($B$119:$B$131,SMALL(IF(INDEX($C$119:$R$131,0,MATCH($U$16,$C$118:$R$118,0))=1,ROW($B$119:$B$131)-ROW($B$119)+1),10)),"")</f>
      </c>
      <c r="AK16" s="23">
        <f t="array" ref="AK16">IFERROR(INDEX($B$119:$B$131,SMALL(IF(INDEX($C$119:$R$131,0,MATCH($U$16,$C$118:$R$118,0))=1,ROW($B$119:$B$131)-ROW($B$119)+1),11)),"")</f>
      </c>
      <c r="AL16" s="23">
        <f t="array" ref="AL16">IFERROR(INDEX($B$119:$B$131,SMALL(IF(INDEX($C$119:$R$131,0,MATCH($U$16,$C$118:$R$118,0))=1,ROW($B$119:$B$131)-ROW($B$119)+1),12)),"")</f>
      </c>
      <c r="AM16" s="23">
        <f t="array" ref="AM16">IFERROR(INDEX($B$119:$B$131,SMALL(IF(INDEX($C$119:$R$131,0,MATCH($U$16,$C$118:$R$118,0))=1,ROW($B$119:$B$131)-ROW($B$119)+1),13)),"")</f>
      </c>
    </row>
    <row r="17">
      <c r="A17" t="s" s="21">
        <v>105</v>
      </c>
      <c r="B17" t="s" s="21">
        <v>126</v>
      </c>
      <c r="C17" t="s" s="21">
        <v>107</v>
      </c>
      <c r="D17" t="s" s="20">
        <v>112</v>
      </c>
      <c r="E17" t="s" s="20">
        <v>109</v>
      </c>
      <c r="F17" t="s" s="20">
        <v>112</v>
      </c>
      <c r="G17" t="s" s="20">
        <v>125</v>
      </c>
      <c r="H17" t="s" s="20">
        <v>113</v>
      </c>
      <c r="I17" t="s" s="20">
        <v>114</v>
      </c>
      <c r="J17" t="s" s="20">
        <v>109</v>
      </c>
      <c r="K17" t="s" s="20">
        <v>109</v>
      </c>
      <c r="U17" s="23">
        <f>IF($A$17="","",$A$17&amp;"|"&amp;$B$17&amp;"|"&amp;$C$17)</f>
      </c>
      <c r="V17" s="23">
        <f>COUNTA($F$17:$K$17)</f>
      </c>
      <c r="W17" s="23">
        <f>IF($D$17="","OK",IFERROR(UPPER(INDIRECT("'Famille - "&amp;$D$17&amp;"'!"&amp;ADDRESS(10,(2+IF($A$17="Paire",0,1)*8+(MATCH($B$17,{"Lundi","Mardi","Jeudi","Vendredi"},0)-1)*2+IF($C$17="Matin",0,1))))),"OK"))</f>
      </c>
      <c r="X17" s="23">
        <f>IF($D$17="",0,IFERROR(INDIRECT("'Famille - "&amp;$D$17&amp;"'!"&amp;"$B$5"),0))</f>
      </c>
      <c r="Y17" s="23">
        <f>IF($V$17&gt;$X$17,$V$17-$X$17,0)</f>
      </c>
      <c r="Z17" s="23">
        <f>","&amp;_xlfn.TEXTJOIN(",",TRUE,$F$17:$K$17)&amp;","</f>
      </c>
      <c r="AA17" s="23">
        <f t="array" ref="AA17">IFERROR(INDEX($B$119:$B$131,SMALL(IF(INDEX($C$119:$R$131,0,MATCH($U$17,$C$118:$R$118,0))=1,ROW($B$119:$B$131)-ROW($B$119)+1),1)),"")</f>
      </c>
      <c r="AB17" s="23">
        <f t="array" ref="AB17">IFERROR(INDEX($B$119:$B$131,SMALL(IF(INDEX($C$119:$R$131,0,MATCH($U$17,$C$118:$R$118,0))=1,ROW($B$119:$B$131)-ROW($B$119)+1),2)),"")</f>
      </c>
      <c r="AC17" s="23">
        <f t="array" ref="AC17">IFERROR(INDEX($B$119:$B$131,SMALL(IF(INDEX($C$119:$R$131,0,MATCH($U$17,$C$118:$R$118,0))=1,ROW($B$119:$B$131)-ROW($B$119)+1),3)),"")</f>
      </c>
      <c r="AD17" s="23">
        <f t="array" ref="AD17">IFERROR(INDEX($B$119:$B$131,SMALL(IF(INDEX($C$119:$R$131,0,MATCH($U$17,$C$118:$R$118,0))=1,ROW($B$119:$B$131)-ROW($B$119)+1),4)),"")</f>
      </c>
      <c r="AE17" s="23">
        <f t="array" ref="AE17">IFERROR(INDEX($B$119:$B$131,SMALL(IF(INDEX($C$119:$R$131,0,MATCH($U$17,$C$118:$R$118,0))=1,ROW($B$119:$B$131)-ROW($B$119)+1),5)),"")</f>
      </c>
      <c r="AF17" s="23">
        <f t="array" ref="AF17">IFERROR(INDEX($B$119:$B$131,SMALL(IF(INDEX($C$119:$R$131,0,MATCH($U$17,$C$118:$R$118,0))=1,ROW($B$119:$B$131)-ROW($B$119)+1),6)),"")</f>
      </c>
      <c r="AG17" s="23">
        <f t="array" ref="AG17">IFERROR(INDEX($B$119:$B$131,SMALL(IF(INDEX($C$119:$R$131,0,MATCH($U$17,$C$118:$R$118,0))=1,ROW($B$119:$B$131)-ROW($B$119)+1),7)),"")</f>
      </c>
      <c r="AH17" s="23">
        <f t="array" ref="AH17">IFERROR(INDEX($B$119:$B$131,SMALL(IF(INDEX($C$119:$R$131,0,MATCH($U$17,$C$118:$R$118,0))=1,ROW($B$119:$B$131)-ROW($B$119)+1),8)),"")</f>
      </c>
      <c r="AI17" s="23">
        <f t="array" ref="AI17">IFERROR(INDEX($B$119:$B$131,SMALL(IF(INDEX($C$119:$R$131,0,MATCH($U$17,$C$118:$R$118,0))=1,ROW($B$119:$B$131)-ROW($B$119)+1),9)),"")</f>
      </c>
      <c r="AJ17" s="23">
        <f t="array" ref="AJ17">IFERROR(INDEX($B$119:$B$131,SMALL(IF(INDEX($C$119:$R$131,0,MATCH($U$17,$C$118:$R$118,0))=1,ROW($B$119:$B$131)-ROW($B$119)+1),10)),"")</f>
      </c>
      <c r="AK17" s="23">
        <f t="array" ref="AK17">IFERROR(INDEX($B$119:$B$131,SMALL(IF(INDEX($C$119:$R$131,0,MATCH($U$17,$C$118:$R$118,0))=1,ROW($B$119:$B$131)-ROW($B$119)+1),11)),"")</f>
      </c>
      <c r="AL17" s="23">
        <f t="array" ref="AL17">IFERROR(INDEX($B$119:$B$131,SMALL(IF(INDEX($C$119:$R$131,0,MATCH($U$17,$C$118:$R$118,0))=1,ROW($B$119:$B$131)-ROW($B$119)+1),12)),"")</f>
      </c>
      <c r="AM17" s="23">
        <f t="array" ref="AM17">IFERROR(INDEX($B$119:$B$131,SMALL(IF(INDEX($C$119:$R$131,0,MATCH($U$17,$C$118:$R$118,0))=1,ROW($B$119:$B$131)-ROW($B$119)+1),13)),"")</f>
      </c>
    </row>
    <row r="18">
      <c r="A18" t="s" s="21">
        <v>105</v>
      </c>
      <c r="B18" t="s" s="21">
        <v>126</v>
      </c>
      <c r="C18" t="s" s="21">
        <v>107</v>
      </c>
      <c r="D18" t="s" s="20">
        <v>108</v>
      </c>
      <c r="E18" t="s" s="20">
        <v>109</v>
      </c>
      <c r="F18" t="s" s="20">
        <v>110</v>
      </c>
      <c r="G18" t="s" s="20">
        <v>111</v>
      </c>
      <c r="H18" t="s" s="20">
        <v>120</v>
      </c>
      <c r="I18" t="s" s="20">
        <v>119</v>
      </c>
      <c r="J18" t="s" s="20">
        <v>121</v>
      </c>
      <c r="K18" t="s" s="20">
        <v>109</v>
      </c>
      <c r="U18" s="23">
        <f>IF($A$18="","",$A$18&amp;"|"&amp;$B$18&amp;"|"&amp;$C$18)</f>
      </c>
      <c r="V18" s="23">
        <f>COUNTA($F$18:$K$18)</f>
      </c>
      <c r="W18" s="23">
        <f>IF($D$18="","OK",IFERROR(UPPER(INDIRECT("'Famille - "&amp;$D$18&amp;"'!"&amp;ADDRESS(10,(2+IF($A$18="Paire",0,1)*8+(MATCH($B$18,{"Lundi","Mardi","Jeudi","Vendredi"},0)-1)*2+IF($C$18="Matin",0,1))))),"OK"))</f>
      </c>
      <c r="X18" s="23">
        <f>IF($D$18="",0,IFERROR(INDIRECT("'Famille - "&amp;$D$18&amp;"'!"&amp;"$B$5"),0))</f>
      </c>
      <c r="Y18" s="23">
        <f>IF($V$18&gt;$X$18,$V$18-$X$18,0)</f>
      </c>
      <c r="Z18" s="23">
        <f>","&amp;_xlfn.TEXTJOIN(",",TRUE,$F$18:$K$18)&amp;","</f>
      </c>
      <c r="AA18" s="23">
        <f t="array" ref="AA18">IFERROR(INDEX($B$119:$B$131,SMALL(IF(INDEX($C$119:$R$131,0,MATCH($U$18,$C$118:$R$118,0))=1,ROW($B$119:$B$131)-ROW($B$119)+1),1)),"")</f>
      </c>
      <c r="AB18" s="23">
        <f t="array" ref="AB18">IFERROR(INDEX($B$119:$B$131,SMALL(IF(INDEX($C$119:$R$131,0,MATCH($U$18,$C$118:$R$118,0))=1,ROW($B$119:$B$131)-ROW($B$119)+1),2)),"")</f>
      </c>
      <c r="AC18" s="23">
        <f t="array" ref="AC18">IFERROR(INDEX($B$119:$B$131,SMALL(IF(INDEX($C$119:$R$131,0,MATCH($U$18,$C$118:$R$118,0))=1,ROW($B$119:$B$131)-ROW($B$119)+1),3)),"")</f>
      </c>
      <c r="AD18" s="23">
        <f t="array" ref="AD18">IFERROR(INDEX($B$119:$B$131,SMALL(IF(INDEX($C$119:$R$131,0,MATCH($U$18,$C$118:$R$118,0))=1,ROW($B$119:$B$131)-ROW($B$119)+1),4)),"")</f>
      </c>
      <c r="AE18" s="23">
        <f t="array" ref="AE18">IFERROR(INDEX($B$119:$B$131,SMALL(IF(INDEX($C$119:$R$131,0,MATCH($U$18,$C$118:$R$118,0))=1,ROW($B$119:$B$131)-ROW($B$119)+1),5)),"")</f>
      </c>
      <c r="AF18" s="23">
        <f t="array" ref="AF18">IFERROR(INDEX($B$119:$B$131,SMALL(IF(INDEX($C$119:$R$131,0,MATCH($U$18,$C$118:$R$118,0))=1,ROW($B$119:$B$131)-ROW($B$119)+1),6)),"")</f>
      </c>
      <c r="AG18" s="23">
        <f t="array" ref="AG18">IFERROR(INDEX($B$119:$B$131,SMALL(IF(INDEX($C$119:$R$131,0,MATCH($U$18,$C$118:$R$118,0))=1,ROW($B$119:$B$131)-ROW($B$119)+1),7)),"")</f>
      </c>
      <c r="AH18" s="23">
        <f t="array" ref="AH18">IFERROR(INDEX($B$119:$B$131,SMALL(IF(INDEX($C$119:$R$131,0,MATCH($U$18,$C$118:$R$118,0))=1,ROW($B$119:$B$131)-ROW($B$119)+1),8)),"")</f>
      </c>
      <c r="AI18" s="23">
        <f t="array" ref="AI18">IFERROR(INDEX($B$119:$B$131,SMALL(IF(INDEX($C$119:$R$131,0,MATCH($U$18,$C$118:$R$118,0))=1,ROW($B$119:$B$131)-ROW($B$119)+1),9)),"")</f>
      </c>
      <c r="AJ18" s="23">
        <f t="array" ref="AJ18">IFERROR(INDEX($B$119:$B$131,SMALL(IF(INDEX($C$119:$R$131,0,MATCH($U$18,$C$118:$R$118,0))=1,ROW($B$119:$B$131)-ROW($B$119)+1),10)),"")</f>
      </c>
      <c r="AK18" s="23">
        <f t="array" ref="AK18">IFERROR(INDEX($B$119:$B$131,SMALL(IF(INDEX($C$119:$R$131,0,MATCH($U$18,$C$118:$R$118,0))=1,ROW($B$119:$B$131)-ROW($B$119)+1),11)),"")</f>
      </c>
      <c r="AL18" s="23">
        <f t="array" ref="AL18">IFERROR(INDEX($B$119:$B$131,SMALL(IF(INDEX($C$119:$R$131,0,MATCH($U$18,$C$118:$R$118,0))=1,ROW($B$119:$B$131)-ROW($B$119)+1),12)),"")</f>
      </c>
      <c r="AM18" s="23">
        <f t="array" ref="AM18">IFERROR(INDEX($B$119:$B$131,SMALL(IF(INDEX($C$119:$R$131,0,MATCH($U$18,$C$118:$R$118,0))=1,ROW($B$119:$B$131)-ROW($B$119)+1),13)),"")</f>
      </c>
    </row>
    <row r="19">
      <c r="A19" t="s" s="21">
        <v>105</v>
      </c>
      <c r="B19" t="s" s="21">
        <v>126</v>
      </c>
      <c r="C19" t="s" s="21">
        <v>107</v>
      </c>
      <c r="D19" t="s" s="20">
        <v>122</v>
      </c>
      <c r="E19" t="s" s="20">
        <v>109</v>
      </c>
      <c r="F19" t="s" s="20">
        <v>122</v>
      </c>
      <c r="G19" t="s" s="20">
        <v>116</v>
      </c>
      <c r="H19" t="s" s="20">
        <v>117</v>
      </c>
      <c r="I19" t="s" s="20">
        <v>109</v>
      </c>
      <c r="J19" t="s" s="20">
        <v>109</v>
      </c>
      <c r="K19" t="s" s="20">
        <v>109</v>
      </c>
      <c r="U19" s="23">
        <f>IF($A$19="","",$A$19&amp;"|"&amp;$B$19&amp;"|"&amp;$C$19)</f>
      </c>
      <c r="V19" s="23">
        <f>COUNTA($F$19:$K$19)</f>
      </c>
      <c r="W19" s="23">
        <f>IF($D$19="","OK",IFERROR(UPPER(INDIRECT("'Famille - "&amp;$D$19&amp;"'!"&amp;ADDRESS(10,(2+IF($A$19="Paire",0,1)*8+(MATCH($B$19,{"Lundi","Mardi","Jeudi","Vendredi"},0)-1)*2+IF($C$19="Matin",0,1))))),"OK"))</f>
      </c>
      <c r="X19" s="23">
        <f>IF($D$19="",0,IFERROR(INDIRECT("'Famille - "&amp;$D$19&amp;"'!"&amp;"$B$5"),0))</f>
      </c>
      <c r="Y19" s="23">
        <f>IF($V$19&gt;$X$19,$V$19-$X$19,0)</f>
      </c>
      <c r="Z19" s="23">
        <f>","&amp;_xlfn.TEXTJOIN(",",TRUE,$F$19:$K$19)&amp;","</f>
      </c>
      <c r="AA19" s="23">
        <f t="array" ref="AA19">IFERROR(INDEX($B$119:$B$131,SMALL(IF(INDEX($C$119:$R$131,0,MATCH($U$19,$C$118:$R$118,0))=1,ROW($B$119:$B$131)-ROW($B$119)+1),1)),"")</f>
      </c>
      <c r="AB19" s="23">
        <f t="array" ref="AB19">IFERROR(INDEX($B$119:$B$131,SMALL(IF(INDEX($C$119:$R$131,0,MATCH($U$19,$C$118:$R$118,0))=1,ROW($B$119:$B$131)-ROW($B$119)+1),2)),"")</f>
      </c>
      <c r="AC19" s="23">
        <f t="array" ref="AC19">IFERROR(INDEX($B$119:$B$131,SMALL(IF(INDEX($C$119:$R$131,0,MATCH($U$19,$C$118:$R$118,0))=1,ROW($B$119:$B$131)-ROW($B$119)+1),3)),"")</f>
      </c>
      <c r="AD19" s="23">
        <f t="array" ref="AD19">IFERROR(INDEX($B$119:$B$131,SMALL(IF(INDEX($C$119:$R$131,0,MATCH($U$19,$C$118:$R$118,0))=1,ROW($B$119:$B$131)-ROW($B$119)+1),4)),"")</f>
      </c>
      <c r="AE19" s="23">
        <f t="array" ref="AE19">IFERROR(INDEX($B$119:$B$131,SMALL(IF(INDEX($C$119:$R$131,0,MATCH($U$19,$C$118:$R$118,0))=1,ROW($B$119:$B$131)-ROW($B$119)+1),5)),"")</f>
      </c>
      <c r="AF19" s="23">
        <f t="array" ref="AF19">IFERROR(INDEX($B$119:$B$131,SMALL(IF(INDEX($C$119:$R$131,0,MATCH($U$19,$C$118:$R$118,0))=1,ROW($B$119:$B$131)-ROW($B$119)+1),6)),"")</f>
      </c>
      <c r="AG19" s="23">
        <f t="array" ref="AG19">IFERROR(INDEX($B$119:$B$131,SMALL(IF(INDEX($C$119:$R$131,0,MATCH($U$19,$C$118:$R$118,0))=1,ROW($B$119:$B$131)-ROW($B$119)+1),7)),"")</f>
      </c>
      <c r="AH19" s="23">
        <f t="array" ref="AH19">IFERROR(INDEX($B$119:$B$131,SMALL(IF(INDEX($C$119:$R$131,0,MATCH($U$19,$C$118:$R$118,0))=1,ROW($B$119:$B$131)-ROW($B$119)+1),8)),"")</f>
      </c>
      <c r="AI19" s="23">
        <f t="array" ref="AI19">IFERROR(INDEX($B$119:$B$131,SMALL(IF(INDEX($C$119:$R$131,0,MATCH($U$19,$C$118:$R$118,0))=1,ROW($B$119:$B$131)-ROW($B$119)+1),9)),"")</f>
      </c>
      <c r="AJ19" s="23">
        <f t="array" ref="AJ19">IFERROR(INDEX($B$119:$B$131,SMALL(IF(INDEX($C$119:$R$131,0,MATCH($U$19,$C$118:$R$118,0))=1,ROW($B$119:$B$131)-ROW($B$119)+1),10)),"")</f>
      </c>
      <c r="AK19" s="23">
        <f t="array" ref="AK19">IFERROR(INDEX($B$119:$B$131,SMALL(IF(INDEX($C$119:$R$131,0,MATCH($U$19,$C$118:$R$118,0))=1,ROW($B$119:$B$131)-ROW($B$119)+1),11)),"")</f>
      </c>
      <c r="AL19" s="23">
        <f t="array" ref="AL19">IFERROR(INDEX($B$119:$B$131,SMALL(IF(INDEX($C$119:$R$131,0,MATCH($U$19,$C$118:$R$118,0))=1,ROW($B$119:$B$131)-ROW($B$119)+1),12)),"")</f>
      </c>
      <c r="AM19" s="23">
        <f t="array" ref="AM19">IFERROR(INDEX($B$119:$B$131,SMALL(IF(INDEX($C$119:$R$131,0,MATCH($U$19,$C$118:$R$118,0))=1,ROW($B$119:$B$131)-ROW($B$119)+1),13)),"")</f>
      </c>
    </row>
    <row r="20">
      <c r="A20" t="s" s="21">
        <v>105</v>
      </c>
      <c r="B20" t="s" s="21">
        <v>126</v>
      </c>
      <c r="C20" t="s" s="21">
        <v>123</v>
      </c>
      <c r="D20" t="s" s="20">
        <v>113</v>
      </c>
      <c r="E20" t="s" s="20">
        <v>109</v>
      </c>
      <c r="F20" t="s" s="20">
        <v>113</v>
      </c>
      <c r="G20" t="s" s="20">
        <v>112</v>
      </c>
      <c r="H20" t="s" s="20">
        <v>114</v>
      </c>
      <c r="I20" t="s" s="20">
        <v>109</v>
      </c>
      <c r="J20" t="s" s="20">
        <v>109</v>
      </c>
      <c r="K20" t="s" s="20">
        <v>109</v>
      </c>
      <c r="U20" s="23">
        <f>IF($A$20="","",$A$20&amp;"|"&amp;$B$20&amp;"|"&amp;$C$20)</f>
      </c>
      <c r="V20" s="23">
        <f>COUNTA($F$20:$K$20)</f>
      </c>
      <c r="W20" s="23">
        <f>IF($D$20="","OK",IFERROR(UPPER(INDIRECT("'Famille - "&amp;$D$20&amp;"'!"&amp;ADDRESS(10,(2+IF($A$20="Paire",0,1)*8+(MATCH($B$20,{"Lundi","Mardi","Jeudi","Vendredi"},0)-1)*2+IF($C$20="Matin",0,1))))),"OK"))</f>
      </c>
      <c r="X20" s="23">
        <f>IF($D$20="",0,IFERROR(INDIRECT("'Famille - "&amp;$D$20&amp;"'!"&amp;"$B$5"),0))</f>
      </c>
      <c r="Y20" s="23">
        <f>IF($V$20&gt;$X$20,$V$20-$X$20,0)</f>
      </c>
      <c r="Z20" s="23">
        <f>","&amp;_xlfn.TEXTJOIN(",",TRUE,$F$20:$K$20)&amp;","</f>
      </c>
      <c r="AA20" s="23">
        <f t="array" ref="AA20">IFERROR(INDEX($B$119:$B$131,SMALL(IF(INDEX($C$119:$R$131,0,MATCH($U$20,$C$118:$R$118,0))=1,ROW($B$119:$B$131)-ROW($B$119)+1),1)),"")</f>
      </c>
      <c r="AB20" s="23">
        <f t="array" ref="AB20">IFERROR(INDEX($B$119:$B$131,SMALL(IF(INDEX($C$119:$R$131,0,MATCH($U$20,$C$118:$R$118,0))=1,ROW($B$119:$B$131)-ROW($B$119)+1),2)),"")</f>
      </c>
      <c r="AC20" s="23">
        <f t="array" ref="AC20">IFERROR(INDEX($B$119:$B$131,SMALL(IF(INDEX($C$119:$R$131,0,MATCH($U$20,$C$118:$R$118,0))=1,ROW($B$119:$B$131)-ROW($B$119)+1),3)),"")</f>
      </c>
      <c r="AD20" s="23">
        <f t="array" ref="AD20">IFERROR(INDEX($B$119:$B$131,SMALL(IF(INDEX($C$119:$R$131,0,MATCH($U$20,$C$118:$R$118,0))=1,ROW($B$119:$B$131)-ROW($B$119)+1),4)),"")</f>
      </c>
      <c r="AE20" s="23">
        <f t="array" ref="AE20">IFERROR(INDEX($B$119:$B$131,SMALL(IF(INDEX($C$119:$R$131,0,MATCH($U$20,$C$118:$R$118,0))=1,ROW($B$119:$B$131)-ROW($B$119)+1),5)),"")</f>
      </c>
      <c r="AF20" s="23">
        <f t="array" ref="AF20">IFERROR(INDEX($B$119:$B$131,SMALL(IF(INDEX($C$119:$R$131,0,MATCH($U$20,$C$118:$R$118,0))=1,ROW($B$119:$B$131)-ROW($B$119)+1),6)),"")</f>
      </c>
      <c r="AG20" s="23">
        <f t="array" ref="AG20">IFERROR(INDEX($B$119:$B$131,SMALL(IF(INDEX($C$119:$R$131,0,MATCH($U$20,$C$118:$R$118,0))=1,ROW($B$119:$B$131)-ROW($B$119)+1),7)),"")</f>
      </c>
      <c r="AH20" s="23">
        <f t="array" ref="AH20">IFERROR(INDEX($B$119:$B$131,SMALL(IF(INDEX($C$119:$R$131,0,MATCH($U$20,$C$118:$R$118,0))=1,ROW($B$119:$B$131)-ROW($B$119)+1),8)),"")</f>
      </c>
      <c r="AI20" s="23">
        <f t="array" ref="AI20">IFERROR(INDEX($B$119:$B$131,SMALL(IF(INDEX($C$119:$R$131,0,MATCH($U$20,$C$118:$R$118,0))=1,ROW($B$119:$B$131)-ROW($B$119)+1),9)),"")</f>
      </c>
      <c r="AJ20" s="23">
        <f t="array" ref="AJ20">IFERROR(INDEX($B$119:$B$131,SMALL(IF(INDEX($C$119:$R$131,0,MATCH($U$20,$C$118:$R$118,0))=1,ROW($B$119:$B$131)-ROW($B$119)+1),10)),"")</f>
      </c>
      <c r="AK20" s="23">
        <f t="array" ref="AK20">IFERROR(INDEX($B$119:$B$131,SMALL(IF(INDEX($C$119:$R$131,0,MATCH($U$20,$C$118:$R$118,0))=1,ROW($B$119:$B$131)-ROW($B$119)+1),11)),"")</f>
      </c>
      <c r="AL20" s="23">
        <f t="array" ref="AL20">IFERROR(INDEX($B$119:$B$131,SMALL(IF(INDEX($C$119:$R$131,0,MATCH($U$20,$C$118:$R$118,0))=1,ROW($B$119:$B$131)-ROW($B$119)+1),12)),"")</f>
      </c>
      <c r="AM20" s="23">
        <f t="array" ref="AM20">IFERROR(INDEX($B$119:$B$131,SMALL(IF(INDEX($C$119:$R$131,0,MATCH($U$20,$C$118:$R$118,0))=1,ROW($B$119:$B$131)-ROW($B$119)+1),13)),"")</f>
      </c>
    </row>
    <row r="21">
      <c r="A21" t="s" s="21">
        <v>105</v>
      </c>
      <c r="B21" t="s" s="21">
        <v>126</v>
      </c>
      <c r="C21" t="s" s="21">
        <v>123</v>
      </c>
      <c r="D21" t="s" s="20">
        <v>125</v>
      </c>
      <c r="E21" t="s" s="20">
        <v>109</v>
      </c>
      <c r="F21" t="s" s="20">
        <v>125</v>
      </c>
      <c r="G21" t="s" s="20">
        <v>120</v>
      </c>
      <c r="H21" t="s" s="20">
        <v>110</v>
      </c>
      <c r="I21" t="s" s="20">
        <v>111</v>
      </c>
      <c r="J21" t="s" s="20">
        <v>109</v>
      </c>
      <c r="K21" t="s" s="20">
        <v>109</v>
      </c>
      <c r="U21" s="23">
        <f>IF($A$21="","",$A$21&amp;"|"&amp;$B$21&amp;"|"&amp;$C$21)</f>
      </c>
      <c r="V21" s="23">
        <f>COUNTA($F$21:$K$21)</f>
      </c>
      <c r="W21" s="23">
        <f>IF($D$21="","OK",IFERROR(UPPER(INDIRECT("'Famille - "&amp;$D$21&amp;"'!"&amp;ADDRESS(10,(2+IF($A$21="Paire",0,1)*8+(MATCH($B$21,{"Lundi","Mardi","Jeudi","Vendredi"},0)-1)*2+IF($C$21="Matin",0,1))))),"OK"))</f>
      </c>
      <c r="X21" s="23">
        <f>IF($D$21="",0,IFERROR(INDIRECT("'Famille - "&amp;$D$21&amp;"'!"&amp;"$B$5"),0))</f>
      </c>
      <c r="Y21" s="23">
        <f>IF($V$21&gt;$X$21,$V$21-$X$21,0)</f>
      </c>
      <c r="Z21" s="23">
        <f>","&amp;_xlfn.TEXTJOIN(",",TRUE,$F$21:$K$21)&amp;","</f>
      </c>
      <c r="AA21" s="23">
        <f t="array" ref="AA21">IFERROR(INDEX($B$119:$B$131,SMALL(IF(INDEX($C$119:$R$131,0,MATCH($U$21,$C$118:$R$118,0))=1,ROW($B$119:$B$131)-ROW($B$119)+1),1)),"")</f>
      </c>
      <c r="AB21" s="23">
        <f t="array" ref="AB21">IFERROR(INDEX($B$119:$B$131,SMALL(IF(INDEX($C$119:$R$131,0,MATCH($U$21,$C$118:$R$118,0))=1,ROW($B$119:$B$131)-ROW($B$119)+1),2)),"")</f>
      </c>
      <c r="AC21" s="23">
        <f t="array" ref="AC21">IFERROR(INDEX($B$119:$B$131,SMALL(IF(INDEX($C$119:$R$131,0,MATCH($U$21,$C$118:$R$118,0))=1,ROW($B$119:$B$131)-ROW($B$119)+1),3)),"")</f>
      </c>
      <c r="AD21" s="23">
        <f t="array" ref="AD21">IFERROR(INDEX($B$119:$B$131,SMALL(IF(INDEX($C$119:$R$131,0,MATCH($U$21,$C$118:$R$118,0))=1,ROW($B$119:$B$131)-ROW($B$119)+1),4)),"")</f>
      </c>
      <c r="AE21" s="23">
        <f t="array" ref="AE21">IFERROR(INDEX($B$119:$B$131,SMALL(IF(INDEX($C$119:$R$131,0,MATCH($U$21,$C$118:$R$118,0))=1,ROW($B$119:$B$131)-ROW($B$119)+1),5)),"")</f>
      </c>
      <c r="AF21" s="23">
        <f t="array" ref="AF21">IFERROR(INDEX($B$119:$B$131,SMALL(IF(INDEX($C$119:$R$131,0,MATCH($U$21,$C$118:$R$118,0))=1,ROW($B$119:$B$131)-ROW($B$119)+1),6)),"")</f>
      </c>
      <c r="AG21" s="23">
        <f t="array" ref="AG21">IFERROR(INDEX($B$119:$B$131,SMALL(IF(INDEX($C$119:$R$131,0,MATCH($U$21,$C$118:$R$118,0))=1,ROW($B$119:$B$131)-ROW($B$119)+1),7)),"")</f>
      </c>
      <c r="AH21" s="23">
        <f t="array" ref="AH21">IFERROR(INDEX($B$119:$B$131,SMALL(IF(INDEX($C$119:$R$131,0,MATCH($U$21,$C$118:$R$118,0))=1,ROW($B$119:$B$131)-ROW($B$119)+1),8)),"")</f>
      </c>
      <c r="AI21" s="23">
        <f t="array" ref="AI21">IFERROR(INDEX($B$119:$B$131,SMALL(IF(INDEX($C$119:$R$131,0,MATCH($U$21,$C$118:$R$118,0))=1,ROW($B$119:$B$131)-ROW($B$119)+1),9)),"")</f>
      </c>
      <c r="AJ21" s="23">
        <f t="array" ref="AJ21">IFERROR(INDEX($B$119:$B$131,SMALL(IF(INDEX($C$119:$R$131,0,MATCH($U$21,$C$118:$R$118,0))=1,ROW($B$119:$B$131)-ROW($B$119)+1),10)),"")</f>
      </c>
      <c r="AK21" s="23">
        <f t="array" ref="AK21">IFERROR(INDEX($B$119:$B$131,SMALL(IF(INDEX($C$119:$R$131,0,MATCH($U$21,$C$118:$R$118,0))=1,ROW($B$119:$B$131)-ROW($B$119)+1),11)),"")</f>
      </c>
      <c r="AL21" s="23">
        <f t="array" ref="AL21">IFERROR(INDEX($B$119:$B$131,SMALL(IF(INDEX($C$119:$R$131,0,MATCH($U$21,$C$118:$R$118,0))=1,ROW($B$119:$B$131)-ROW($B$119)+1),12)),"")</f>
      </c>
      <c r="AM21" s="23">
        <f t="array" ref="AM21">IFERROR(INDEX($B$119:$B$131,SMALL(IF(INDEX($C$119:$R$131,0,MATCH($U$21,$C$118:$R$118,0))=1,ROW($B$119:$B$131)-ROW($B$119)+1),13)),"")</f>
      </c>
    </row>
    <row r="22">
      <c r="A22" t="s" s="21">
        <v>105</v>
      </c>
      <c r="B22" t="s" s="21">
        <v>126</v>
      </c>
      <c r="C22" t="s" s="21">
        <v>123</v>
      </c>
      <c r="D22" t="s" s="20">
        <v>115</v>
      </c>
      <c r="E22" t="s" s="20">
        <v>109</v>
      </c>
      <c r="F22" t="s" s="20">
        <v>116</v>
      </c>
      <c r="G22" t="s" s="20">
        <v>117</v>
      </c>
      <c r="H22" t="s" s="20">
        <v>119</v>
      </c>
      <c r="I22" t="s" s="20">
        <v>109</v>
      </c>
      <c r="J22" t="s" s="20">
        <v>109</v>
      </c>
      <c r="K22" t="s" s="20">
        <v>109</v>
      </c>
      <c r="U22" s="23">
        <f>IF($A$22="","",$A$22&amp;"|"&amp;$B$22&amp;"|"&amp;$C$22)</f>
      </c>
      <c r="V22" s="23">
        <f>COUNTA($F$22:$K$22)</f>
      </c>
      <c r="W22" s="23">
        <f>IF($D$22="","OK",IFERROR(UPPER(INDIRECT("'Famille - "&amp;$D$22&amp;"'!"&amp;ADDRESS(10,(2+IF($A$22="Paire",0,1)*8+(MATCH($B$22,{"Lundi","Mardi","Jeudi","Vendredi"},0)-1)*2+IF($C$22="Matin",0,1))))),"OK"))</f>
      </c>
      <c r="X22" s="23">
        <f>IF($D$22="",0,IFERROR(INDIRECT("'Famille - "&amp;$D$22&amp;"'!"&amp;"$B$5"),0))</f>
      </c>
      <c r="Y22" s="23">
        <f>IF($V$22&gt;$X$22,$V$22-$X$22,0)</f>
      </c>
      <c r="Z22" s="23">
        <f>","&amp;_xlfn.TEXTJOIN(",",TRUE,$F$22:$K$22)&amp;","</f>
      </c>
      <c r="AA22" s="23">
        <f t="array" ref="AA22">IFERROR(INDEX($B$119:$B$131,SMALL(IF(INDEX($C$119:$R$131,0,MATCH($U$22,$C$118:$R$118,0))=1,ROW($B$119:$B$131)-ROW($B$119)+1),1)),"")</f>
      </c>
      <c r="AB22" s="23">
        <f t="array" ref="AB22">IFERROR(INDEX($B$119:$B$131,SMALL(IF(INDEX($C$119:$R$131,0,MATCH($U$22,$C$118:$R$118,0))=1,ROW($B$119:$B$131)-ROW($B$119)+1),2)),"")</f>
      </c>
      <c r="AC22" s="23">
        <f t="array" ref="AC22">IFERROR(INDEX($B$119:$B$131,SMALL(IF(INDEX($C$119:$R$131,0,MATCH($U$22,$C$118:$R$118,0))=1,ROW($B$119:$B$131)-ROW($B$119)+1),3)),"")</f>
      </c>
      <c r="AD22" s="23">
        <f t="array" ref="AD22">IFERROR(INDEX($B$119:$B$131,SMALL(IF(INDEX($C$119:$R$131,0,MATCH($U$22,$C$118:$R$118,0))=1,ROW($B$119:$B$131)-ROW($B$119)+1),4)),"")</f>
      </c>
      <c r="AE22" s="23">
        <f t="array" ref="AE22">IFERROR(INDEX($B$119:$B$131,SMALL(IF(INDEX($C$119:$R$131,0,MATCH($U$22,$C$118:$R$118,0))=1,ROW($B$119:$B$131)-ROW($B$119)+1),5)),"")</f>
      </c>
      <c r="AF22" s="23">
        <f t="array" ref="AF22">IFERROR(INDEX($B$119:$B$131,SMALL(IF(INDEX($C$119:$R$131,0,MATCH($U$22,$C$118:$R$118,0))=1,ROW($B$119:$B$131)-ROW($B$119)+1),6)),"")</f>
      </c>
      <c r="AG22" s="23">
        <f t="array" ref="AG22">IFERROR(INDEX($B$119:$B$131,SMALL(IF(INDEX($C$119:$R$131,0,MATCH($U$22,$C$118:$R$118,0))=1,ROW($B$119:$B$131)-ROW($B$119)+1),7)),"")</f>
      </c>
      <c r="AH22" s="23">
        <f t="array" ref="AH22">IFERROR(INDEX($B$119:$B$131,SMALL(IF(INDEX($C$119:$R$131,0,MATCH($U$22,$C$118:$R$118,0))=1,ROW($B$119:$B$131)-ROW($B$119)+1),8)),"")</f>
      </c>
      <c r="AI22" s="23">
        <f t="array" ref="AI22">IFERROR(INDEX($B$119:$B$131,SMALL(IF(INDEX($C$119:$R$131,0,MATCH($U$22,$C$118:$R$118,0))=1,ROW($B$119:$B$131)-ROW($B$119)+1),9)),"")</f>
      </c>
      <c r="AJ22" s="23">
        <f t="array" ref="AJ22">IFERROR(INDEX($B$119:$B$131,SMALL(IF(INDEX($C$119:$R$131,0,MATCH($U$22,$C$118:$R$118,0))=1,ROW($B$119:$B$131)-ROW($B$119)+1),10)),"")</f>
      </c>
      <c r="AK22" s="23">
        <f t="array" ref="AK22">IFERROR(INDEX($B$119:$B$131,SMALL(IF(INDEX($C$119:$R$131,0,MATCH($U$22,$C$118:$R$118,0))=1,ROW($B$119:$B$131)-ROW($B$119)+1),11)),"")</f>
      </c>
      <c r="AL22" s="23">
        <f t="array" ref="AL22">IFERROR(INDEX($B$119:$B$131,SMALL(IF(INDEX($C$119:$R$131,0,MATCH($U$22,$C$118:$R$118,0))=1,ROW($B$119:$B$131)-ROW($B$119)+1),12)),"")</f>
      </c>
      <c r="AM22" s="23">
        <f t="array" ref="AM22">IFERROR(INDEX($B$119:$B$131,SMALL(IF(INDEX($C$119:$R$131,0,MATCH($U$22,$C$118:$R$118,0))=1,ROW($B$119:$B$131)-ROW($B$119)+1),13)),"")</f>
      </c>
    </row>
    <row r="23">
      <c r="A23" t="s" s="21">
        <v>105</v>
      </c>
      <c r="B23" t="s" s="21">
        <v>126</v>
      </c>
      <c r="C23" t="s" s="21">
        <v>123</v>
      </c>
      <c r="D23" t="s" s="20">
        <v>121</v>
      </c>
      <c r="E23" t="s" s="20">
        <v>109</v>
      </c>
      <c r="F23" t="s" s="20">
        <v>121</v>
      </c>
      <c r="G23" t="s" s="20">
        <v>122</v>
      </c>
      <c r="H23" t="s" s="20">
        <v>109</v>
      </c>
      <c r="I23" t="s" s="20">
        <v>109</v>
      </c>
      <c r="J23" t="s" s="20">
        <v>109</v>
      </c>
      <c r="K23" t="s" s="20">
        <v>109</v>
      </c>
      <c r="U23" s="23">
        <f>IF($A$23="","",$A$23&amp;"|"&amp;$B$23&amp;"|"&amp;$C$23)</f>
      </c>
      <c r="V23" s="23">
        <f>COUNTA($F$23:$K$23)</f>
      </c>
      <c r="W23" s="23">
        <f>IF($D$23="","OK",IFERROR(UPPER(INDIRECT("'Famille - "&amp;$D$23&amp;"'!"&amp;ADDRESS(10,(2+IF($A$23="Paire",0,1)*8+(MATCH($B$23,{"Lundi","Mardi","Jeudi","Vendredi"},0)-1)*2+IF($C$23="Matin",0,1))))),"OK"))</f>
      </c>
      <c r="X23" s="23">
        <f>IF($D$23="",0,IFERROR(INDIRECT("'Famille - "&amp;$D$23&amp;"'!"&amp;"$B$5"),0))</f>
      </c>
      <c r="Y23" s="23">
        <f>IF($V$23&gt;$X$23,$V$23-$X$23,0)</f>
      </c>
      <c r="Z23" s="23">
        <f>","&amp;_xlfn.TEXTJOIN(",",TRUE,$F$23:$K$23)&amp;","</f>
      </c>
      <c r="AA23" s="23">
        <f t="array" ref="AA23">IFERROR(INDEX($B$119:$B$131,SMALL(IF(INDEX($C$119:$R$131,0,MATCH($U$23,$C$118:$R$118,0))=1,ROW($B$119:$B$131)-ROW($B$119)+1),1)),"")</f>
      </c>
      <c r="AB23" s="23">
        <f t="array" ref="AB23">IFERROR(INDEX($B$119:$B$131,SMALL(IF(INDEX($C$119:$R$131,0,MATCH($U$23,$C$118:$R$118,0))=1,ROW($B$119:$B$131)-ROW($B$119)+1),2)),"")</f>
      </c>
      <c r="AC23" s="23">
        <f t="array" ref="AC23">IFERROR(INDEX($B$119:$B$131,SMALL(IF(INDEX($C$119:$R$131,0,MATCH($U$23,$C$118:$R$118,0))=1,ROW($B$119:$B$131)-ROW($B$119)+1),3)),"")</f>
      </c>
      <c r="AD23" s="23">
        <f t="array" ref="AD23">IFERROR(INDEX($B$119:$B$131,SMALL(IF(INDEX($C$119:$R$131,0,MATCH($U$23,$C$118:$R$118,0))=1,ROW($B$119:$B$131)-ROW($B$119)+1),4)),"")</f>
      </c>
      <c r="AE23" s="23">
        <f t="array" ref="AE23">IFERROR(INDEX($B$119:$B$131,SMALL(IF(INDEX($C$119:$R$131,0,MATCH($U$23,$C$118:$R$118,0))=1,ROW($B$119:$B$131)-ROW($B$119)+1),5)),"")</f>
      </c>
      <c r="AF23" s="23">
        <f t="array" ref="AF23">IFERROR(INDEX($B$119:$B$131,SMALL(IF(INDEX($C$119:$R$131,0,MATCH($U$23,$C$118:$R$118,0))=1,ROW($B$119:$B$131)-ROW($B$119)+1),6)),"")</f>
      </c>
      <c r="AG23" s="23">
        <f t="array" ref="AG23">IFERROR(INDEX($B$119:$B$131,SMALL(IF(INDEX($C$119:$R$131,0,MATCH($U$23,$C$118:$R$118,0))=1,ROW($B$119:$B$131)-ROW($B$119)+1),7)),"")</f>
      </c>
      <c r="AH23" s="23">
        <f t="array" ref="AH23">IFERROR(INDEX($B$119:$B$131,SMALL(IF(INDEX($C$119:$R$131,0,MATCH($U$23,$C$118:$R$118,0))=1,ROW($B$119:$B$131)-ROW($B$119)+1),8)),"")</f>
      </c>
      <c r="AI23" s="23">
        <f t="array" ref="AI23">IFERROR(INDEX($B$119:$B$131,SMALL(IF(INDEX($C$119:$R$131,0,MATCH($U$23,$C$118:$R$118,0))=1,ROW($B$119:$B$131)-ROW($B$119)+1),9)),"")</f>
      </c>
      <c r="AJ23" s="23">
        <f t="array" ref="AJ23">IFERROR(INDEX($B$119:$B$131,SMALL(IF(INDEX($C$119:$R$131,0,MATCH($U$23,$C$118:$R$118,0))=1,ROW($B$119:$B$131)-ROW($B$119)+1),10)),"")</f>
      </c>
      <c r="AK23" s="23">
        <f t="array" ref="AK23">IFERROR(INDEX($B$119:$B$131,SMALL(IF(INDEX($C$119:$R$131,0,MATCH($U$23,$C$118:$R$118,0))=1,ROW($B$119:$B$131)-ROW($B$119)+1),11)),"")</f>
      </c>
      <c r="AL23" s="23">
        <f t="array" ref="AL23">IFERROR(INDEX($B$119:$B$131,SMALL(IF(INDEX($C$119:$R$131,0,MATCH($U$23,$C$118:$R$118,0))=1,ROW($B$119:$B$131)-ROW($B$119)+1),12)),"")</f>
      </c>
      <c r="AM23" s="23">
        <f t="array" ref="AM23">IFERROR(INDEX($B$119:$B$131,SMALL(IF(INDEX($C$119:$R$131,0,MATCH($U$23,$C$118:$R$118,0))=1,ROW($B$119:$B$131)-ROW($B$119)+1),13)),"")</f>
      </c>
    </row>
    <row r="24">
      <c r="A24" t="s" s="21">
        <v>105</v>
      </c>
      <c r="B24" t="s" s="21">
        <v>127</v>
      </c>
      <c r="C24" t="s" s="21">
        <v>107</v>
      </c>
      <c r="D24" t="s" s="20">
        <v>120</v>
      </c>
      <c r="E24" t="s" s="20">
        <v>109</v>
      </c>
      <c r="F24" t="s" s="20">
        <v>120</v>
      </c>
      <c r="G24" t="s" s="20">
        <v>125</v>
      </c>
      <c r="H24" t="s" s="20">
        <v>112</v>
      </c>
      <c r="I24" t="s" s="20">
        <v>109</v>
      </c>
      <c r="J24" t="s" s="20">
        <v>109</v>
      </c>
      <c r="K24" t="s" s="20">
        <v>109</v>
      </c>
      <c r="U24" s="23">
        <f>IF($A$24="","",$A$24&amp;"|"&amp;$B$24&amp;"|"&amp;$C$24)</f>
      </c>
      <c r="V24" s="23">
        <f>COUNTA($F$24:$K$24)</f>
      </c>
      <c r="W24" s="23">
        <f>IF($D$24="","OK",IFERROR(UPPER(INDIRECT("'Famille - "&amp;$D$24&amp;"'!"&amp;ADDRESS(10,(2+IF($A$24="Paire",0,1)*8+(MATCH($B$24,{"Lundi","Mardi","Jeudi","Vendredi"},0)-1)*2+IF($C$24="Matin",0,1))))),"OK"))</f>
      </c>
      <c r="X24" s="23">
        <f>IF($D$24="",0,IFERROR(INDIRECT("'Famille - "&amp;$D$24&amp;"'!"&amp;"$B$5"),0))</f>
      </c>
      <c r="Y24" s="23">
        <f>IF($V$24&gt;$X$24,$V$24-$X$24,0)</f>
      </c>
      <c r="Z24" s="23">
        <f>","&amp;_xlfn.TEXTJOIN(",",TRUE,$F$24:$K$24)&amp;","</f>
      </c>
      <c r="AA24" s="23">
        <f t="array" ref="AA24">IFERROR(INDEX($B$119:$B$131,SMALL(IF(INDEX($C$119:$R$131,0,MATCH($U$24,$C$118:$R$118,0))=1,ROW($B$119:$B$131)-ROW($B$119)+1),1)),"")</f>
      </c>
      <c r="AB24" s="23">
        <f t="array" ref="AB24">IFERROR(INDEX($B$119:$B$131,SMALL(IF(INDEX($C$119:$R$131,0,MATCH($U$24,$C$118:$R$118,0))=1,ROW($B$119:$B$131)-ROW($B$119)+1),2)),"")</f>
      </c>
      <c r="AC24" s="23">
        <f t="array" ref="AC24">IFERROR(INDEX($B$119:$B$131,SMALL(IF(INDEX($C$119:$R$131,0,MATCH($U$24,$C$118:$R$118,0))=1,ROW($B$119:$B$131)-ROW($B$119)+1),3)),"")</f>
      </c>
      <c r="AD24" s="23">
        <f t="array" ref="AD24">IFERROR(INDEX($B$119:$B$131,SMALL(IF(INDEX($C$119:$R$131,0,MATCH($U$24,$C$118:$R$118,0))=1,ROW($B$119:$B$131)-ROW($B$119)+1),4)),"")</f>
      </c>
      <c r="AE24" s="23">
        <f t="array" ref="AE24">IFERROR(INDEX($B$119:$B$131,SMALL(IF(INDEX($C$119:$R$131,0,MATCH($U$24,$C$118:$R$118,0))=1,ROW($B$119:$B$131)-ROW($B$119)+1),5)),"")</f>
      </c>
      <c r="AF24" s="23">
        <f t="array" ref="AF24">IFERROR(INDEX($B$119:$B$131,SMALL(IF(INDEX($C$119:$R$131,0,MATCH($U$24,$C$118:$R$118,0))=1,ROW($B$119:$B$131)-ROW($B$119)+1),6)),"")</f>
      </c>
      <c r="AG24" s="23">
        <f t="array" ref="AG24">IFERROR(INDEX($B$119:$B$131,SMALL(IF(INDEX($C$119:$R$131,0,MATCH($U$24,$C$118:$R$118,0))=1,ROW($B$119:$B$131)-ROW($B$119)+1),7)),"")</f>
      </c>
      <c r="AH24" s="23">
        <f t="array" ref="AH24">IFERROR(INDEX($B$119:$B$131,SMALL(IF(INDEX($C$119:$R$131,0,MATCH($U$24,$C$118:$R$118,0))=1,ROW($B$119:$B$131)-ROW($B$119)+1),8)),"")</f>
      </c>
      <c r="AI24" s="23">
        <f t="array" ref="AI24">IFERROR(INDEX($B$119:$B$131,SMALL(IF(INDEX($C$119:$R$131,0,MATCH($U$24,$C$118:$R$118,0))=1,ROW($B$119:$B$131)-ROW($B$119)+1),9)),"")</f>
      </c>
      <c r="AJ24" s="23">
        <f t="array" ref="AJ24">IFERROR(INDEX($B$119:$B$131,SMALL(IF(INDEX($C$119:$R$131,0,MATCH($U$24,$C$118:$R$118,0))=1,ROW($B$119:$B$131)-ROW($B$119)+1),10)),"")</f>
      </c>
      <c r="AK24" s="23">
        <f t="array" ref="AK24">IFERROR(INDEX($B$119:$B$131,SMALL(IF(INDEX($C$119:$R$131,0,MATCH($U$24,$C$118:$R$118,0))=1,ROW($B$119:$B$131)-ROW($B$119)+1),11)),"")</f>
      </c>
      <c r="AL24" s="23">
        <f t="array" ref="AL24">IFERROR(INDEX($B$119:$B$131,SMALL(IF(INDEX($C$119:$R$131,0,MATCH($U$24,$C$118:$R$118,0))=1,ROW($B$119:$B$131)-ROW($B$119)+1),12)),"")</f>
      </c>
      <c r="AM24" s="23">
        <f t="array" ref="AM24">IFERROR(INDEX($B$119:$B$131,SMALL(IF(INDEX($C$119:$R$131,0,MATCH($U$24,$C$118:$R$118,0))=1,ROW($B$119:$B$131)-ROW($B$119)+1),13)),"")</f>
      </c>
    </row>
    <row r="25">
      <c r="A25" t="s" s="21">
        <v>105</v>
      </c>
      <c r="B25" t="s" s="21">
        <v>127</v>
      </c>
      <c r="C25" t="s" s="21">
        <v>107</v>
      </c>
      <c r="D25" t="s" s="20">
        <v>122</v>
      </c>
      <c r="E25" t="s" s="20">
        <v>109</v>
      </c>
      <c r="F25" t="s" s="20">
        <v>122</v>
      </c>
      <c r="G25" t="s" s="20">
        <v>110</v>
      </c>
      <c r="H25" t="s" s="20">
        <v>111</v>
      </c>
      <c r="I25" t="s" s="20">
        <v>109</v>
      </c>
      <c r="J25" t="s" s="20">
        <v>109</v>
      </c>
      <c r="K25" t="s" s="20">
        <v>109</v>
      </c>
      <c r="U25" s="23">
        <f>IF($A$25="","",$A$25&amp;"|"&amp;$B$25&amp;"|"&amp;$C$25)</f>
      </c>
      <c r="V25" s="23">
        <f>COUNTA($F$25:$K$25)</f>
      </c>
      <c r="W25" s="23">
        <f>IF($D$25="","OK",IFERROR(UPPER(INDIRECT("'Famille - "&amp;$D$25&amp;"'!"&amp;ADDRESS(10,(2+IF($A$25="Paire",0,1)*8+(MATCH($B$25,{"Lundi","Mardi","Jeudi","Vendredi"},0)-1)*2+IF($C$25="Matin",0,1))))),"OK"))</f>
      </c>
      <c r="X25" s="23">
        <f>IF($D$25="",0,IFERROR(INDIRECT("'Famille - "&amp;$D$25&amp;"'!"&amp;"$B$5"),0))</f>
      </c>
      <c r="Y25" s="23">
        <f>IF($V$25&gt;$X$25,$V$25-$X$25,0)</f>
      </c>
      <c r="Z25" s="23">
        <f>","&amp;_xlfn.TEXTJOIN(",",TRUE,$F$25:$K$25)&amp;","</f>
      </c>
      <c r="AA25" s="23">
        <f t="array" ref="AA25">IFERROR(INDEX($B$119:$B$131,SMALL(IF(INDEX($C$119:$R$131,0,MATCH($U$25,$C$118:$R$118,0))=1,ROW($B$119:$B$131)-ROW($B$119)+1),1)),"")</f>
      </c>
      <c r="AB25" s="23">
        <f t="array" ref="AB25">IFERROR(INDEX($B$119:$B$131,SMALL(IF(INDEX($C$119:$R$131,0,MATCH($U$25,$C$118:$R$118,0))=1,ROW($B$119:$B$131)-ROW($B$119)+1),2)),"")</f>
      </c>
      <c r="AC25" s="23">
        <f t="array" ref="AC25">IFERROR(INDEX($B$119:$B$131,SMALL(IF(INDEX($C$119:$R$131,0,MATCH($U$25,$C$118:$R$118,0))=1,ROW($B$119:$B$131)-ROW($B$119)+1),3)),"")</f>
      </c>
      <c r="AD25" s="23">
        <f t="array" ref="AD25">IFERROR(INDEX($B$119:$B$131,SMALL(IF(INDEX($C$119:$R$131,0,MATCH($U$25,$C$118:$R$118,0))=1,ROW($B$119:$B$131)-ROW($B$119)+1),4)),"")</f>
      </c>
      <c r="AE25" s="23">
        <f t="array" ref="AE25">IFERROR(INDEX($B$119:$B$131,SMALL(IF(INDEX($C$119:$R$131,0,MATCH($U$25,$C$118:$R$118,0))=1,ROW($B$119:$B$131)-ROW($B$119)+1),5)),"")</f>
      </c>
      <c r="AF25" s="23">
        <f t="array" ref="AF25">IFERROR(INDEX($B$119:$B$131,SMALL(IF(INDEX($C$119:$R$131,0,MATCH($U$25,$C$118:$R$118,0))=1,ROW($B$119:$B$131)-ROW($B$119)+1),6)),"")</f>
      </c>
      <c r="AG25" s="23">
        <f t="array" ref="AG25">IFERROR(INDEX($B$119:$B$131,SMALL(IF(INDEX($C$119:$R$131,0,MATCH($U$25,$C$118:$R$118,0))=1,ROW($B$119:$B$131)-ROW($B$119)+1),7)),"")</f>
      </c>
      <c r="AH25" s="23">
        <f t="array" ref="AH25">IFERROR(INDEX($B$119:$B$131,SMALL(IF(INDEX($C$119:$R$131,0,MATCH($U$25,$C$118:$R$118,0))=1,ROW($B$119:$B$131)-ROW($B$119)+1),8)),"")</f>
      </c>
      <c r="AI25" s="23">
        <f t="array" ref="AI25">IFERROR(INDEX($B$119:$B$131,SMALL(IF(INDEX($C$119:$R$131,0,MATCH($U$25,$C$118:$R$118,0))=1,ROW($B$119:$B$131)-ROW($B$119)+1),9)),"")</f>
      </c>
      <c r="AJ25" s="23">
        <f t="array" ref="AJ25">IFERROR(INDEX($B$119:$B$131,SMALL(IF(INDEX($C$119:$R$131,0,MATCH($U$25,$C$118:$R$118,0))=1,ROW($B$119:$B$131)-ROW($B$119)+1),10)),"")</f>
      </c>
      <c r="AK25" s="23">
        <f t="array" ref="AK25">IFERROR(INDEX($B$119:$B$131,SMALL(IF(INDEX($C$119:$R$131,0,MATCH($U$25,$C$118:$R$118,0))=1,ROW($B$119:$B$131)-ROW($B$119)+1),11)),"")</f>
      </c>
      <c r="AL25" s="23">
        <f t="array" ref="AL25">IFERROR(INDEX($B$119:$B$131,SMALL(IF(INDEX($C$119:$R$131,0,MATCH($U$25,$C$118:$R$118,0))=1,ROW($B$119:$B$131)-ROW($B$119)+1),12)),"")</f>
      </c>
      <c r="AM25" s="23">
        <f t="array" ref="AM25">IFERROR(INDEX($B$119:$B$131,SMALL(IF(INDEX($C$119:$R$131,0,MATCH($U$25,$C$118:$R$118,0))=1,ROW($B$119:$B$131)-ROW($B$119)+1),13)),"")</f>
      </c>
    </row>
    <row r="26">
      <c r="A26" t="s" s="21">
        <v>105</v>
      </c>
      <c r="B26" t="s" s="21">
        <v>127</v>
      </c>
      <c r="C26" t="s" s="21">
        <v>107</v>
      </c>
      <c r="D26" t="s" s="20">
        <v>114</v>
      </c>
      <c r="E26" t="s" s="20">
        <v>109</v>
      </c>
      <c r="F26" t="s" s="20">
        <v>114</v>
      </c>
      <c r="G26" t="s" s="20">
        <v>119</v>
      </c>
      <c r="H26" t="s" s="20">
        <v>121</v>
      </c>
      <c r="I26" t="s" s="20">
        <v>116</v>
      </c>
      <c r="J26" t="s" s="20">
        <v>109</v>
      </c>
      <c r="K26" t="s" s="20">
        <v>109</v>
      </c>
      <c r="U26" s="23">
        <f>IF($A$26="","",$A$26&amp;"|"&amp;$B$26&amp;"|"&amp;$C$26)</f>
      </c>
      <c r="V26" s="23">
        <f>COUNTA($F$26:$K$26)</f>
      </c>
      <c r="W26" s="23">
        <f>IF($D$26="","OK",IFERROR(UPPER(INDIRECT("'Famille - "&amp;$D$26&amp;"'!"&amp;ADDRESS(10,(2+IF($A$26="Paire",0,1)*8+(MATCH($B$26,{"Lundi","Mardi","Jeudi","Vendredi"},0)-1)*2+IF($C$26="Matin",0,1))))),"OK"))</f>
      </c>
      <c r="X26" s="23">
        <f>IF($D$26="",0,IFERROR(INDIRECT("'Famille - "&amp;$D$26&amp;"'!"&amp;"$B$5"),0))</f>
      </c>
      <c r="Y26" s="23">
        <f>IF($V$26&gt;$X$26,$V$26-$X$26,0)</f>
      </c>
      <c r="Z26" s="23">
        <f>","&amp;_xlfn.TEXTJOIN(",",TRUE,$F$26:$K$26)&amp;","</f>
      </c>
      <c r="AA26" s="23">
        <f t="array" ref="AA26">IFERROR(INDEX($B$119:$B$131,SMALL(IF(INDEX($C$119:$R$131,0,MATCH($U$26,$C$118:$R$118,0))=1,ROW($B$119:$B$131)-ROW($B$119)+1),1)),"")</f>
      </c>
      <c r="AB26" s="23">
        <f t="array" ref="AB26">IFERROR(INDEX($B$119:$B$131,SMALL(IF(INDEX($C$119:$R$131,0,MATCH($U$26,$C$118:$R$118,0))=1,ROW($B$119:$B$131)-ROW($B$119)+1),2)),"")</f>
      </c>
      <c r="AC26" s="23">
        <f t="array" ref="AC26">IFERROR(INDEX($B$119:$B$131,SMALL(IF(INDEX($C$119:$R$131,0,MATCH($U$26,$C$118:$R$118,0))=1,ROW($B$119:$B$131)-ROW($B$119)+1),3)),"")</f>
      </c>
      <c r="AD26" s="23">
        <f t="array" ref="AD26">IFERROR(INDEX($B$119:$B$131,SMALL(IF(INDEX($C$119:$R$131,0,MATCH($U$26,$C$118:$R$118,0))=1,ROW($B$119:$B$131)-ROW($B$119)+1),4)),"")</f>
      </c>
      <c r="AE26" s="23">
        <f t="array" ref="AE26">IFERROR(INDEX($B$119:$B$131,SMALL(IF(INDEX($C$119:$R$131,0,MATCH($U$26,$C$118:$R$118,0))=1,ROW($B$119:$B$131)-ROW($B$119)+1),5)),"")</f>
      </c>
      <c r="AF26" s="23">
        <f t="array" ref="AF26">IFERROR(INDEX($B$119:$B$131,SMALL(IF(INDEX($C$119:$R$131,0,MATCH($U$26,$C$118:$R$118,0))=1,ROW($B$119:$B$131)-ROW($B$119)+1),6)),"")</f>
      </c>
      <c r="AG26" s="23">
        <f t="array" ref="AG26">IFERROR(INDEX($B$119:$B$131,SMALL(IF(INDEX($C$119:$R$131,0,MATCH($U$26,$C$118:$R$118,0))=1,ROW($B$119:$B$131)-ROW($B$119)+1),7)),"")</f>
      </c>
      <c r="AH26" s="23">
        <f t="array" ref="AH26">IFERROR(INDEX($B$119:$B$131,SMALL(IF(INDEX($C$119:$R$131,0,MATCH($U$26,$C$118:$R$118,0))=1,ROW($B$119:$B$131)-ROW($B$119)+1),8)),"")</f>
      </c>
      <c r="AI26" s="23">
        <f t="array" ref="AI26">IFERROR(INDEX($B$119:$B$131,SMALL(IF(INDEX($C$119:$R$131,0,MATCH($U$26,$C$118:$R$118,0))=1,ROW($B$119:$B$131)-ROW($B$119)+1),9)),"")</f>
      </c>
      <c r="AJ26" s="23">
        <f t="array" ref="AJ26">IFERROR(INDEX($B$119:$B$131,SMALL(IF(INDEX($C$119:$R$131,0,MATCH($U$26,$C$118:$R$118,0))=1,ROW($B$119:$B$131)-ROW($B$119)+1),10)),"")</f>
      </c>
      <c r="AK26" s="23">
        <f t="array" ref="AK26">IFERROR(INDEX($B$119:$B$131,SMALL(IF(INDEX($C$119:$R$131,0,MATCH($U$26,$C$118:$R$118,0))=1,ROW($B$119:$B$131)-ROW($B$119)+1),11)),"")</f>
      </c>
      <c r="AL26" s="23">
        <f t="array" ref="AL26">IFERROR(INDEX($B$119:$B$131,SMALL(IF(INDEX($C$119:$R$131,0,MATCH($U$26,$C$118:$R$118,0))=1,ROW($B$119:$B$131)-ROW($B$119)+1),12)),"")</f>
      </c>
      <c r="AM26" s="23">
        <f t="array" ref="AM26">IFERROR(INDEX($B$119:$B$131,SMALL(IF(INDEX($C$119:$R$131,0,MATCH($U$26,$C$118:$R$118,0))=1,ROW($B$119:$B$131)-ROW($B$119)+1),13)),"")</f>
      </c>
    </row>
    <row r="27">
      <c r="A27" t="s" s="21">
        <v>105</v>
      </c>
      <c r="B27" t="s" s="21">
        <v>127</v>
      </c>
      <c r="C27" t="s" s="21">
        <v>107</v>
      </c>
      <c r="D27" t="s" s="20">
        <v>113</v>
      </c>
      <c r="E27" t="s" s="20">
        <v>109</v>
      </c>
      <c r="F27" t="s" s="20">
        <v>113</v>
      </c>
      <c r="G27" t="s" s="20">
        <v>117</v>
      </c>
      <c r="H27" t="s" s="20">
        <v>109</v>
      </c>
      <c r="I27" t="s" s="20">
        <v>109</v>
      </c>
      <c r="J27" t="s" s="20">
        <v>109</v>
      </c>
      <c r="K27" t="s" s="20">
        <v>109</v>
      </c>
      <c r="U27" s="23">
        <f>IF($A$27="","",$A$27&amp;"|"&amp;$B$27&amp;"|"&amp;$C$27)</f>
      </c>
      <c r="V27" s="23">
        <f>COUNTA($F$27:$K$27)</f>
      </c>
      <c r="W27" s="23">
        <f>IF($D$27="","OK",IFERROR(UPPER(INDIRECT("'Famille - "&amp;$D$27&amp;"'!"&amp;ADDRESS(10,(2+IF($A$27="Paire",0,1)*8+(MATCH($B$27,{"Lundi","Mardi","Jeudi","Vendredi"},0)-1)*2+IF($C$27="Matin",0,1))))),"OK"))</f>
      </c>
      <c r="X27" s="23">
        <f>IF($D$27="",0,IFERROR(INDIRECT("'Famille - "&amp;$D$27&amp;"'!"&amp;"$B$5"),0))</f>
      </c>
      <c r="Y27" s="23">
        <f>IF($V$27&gt;$X$27,$V$27-$X$27,0)</f>
      </c>
      <c r="Z27" s="23">
        <f>","&amp;_xlfn.TEXTJOIN(",",TRUE,$F$27:$K$27)&amp;","</f>
      </c>
      <c r="AA27" s="23">
        <f t="array" ref="AA27">IFERROR(INDEX($B$119:$B$131,SMALL(IF(INDEX($C$119:$R$131,0,MATCH($U$27,$C$118:$R$118,0))=1,ROW($B$119:$B$131)-ROW($B$119)+1),1)),"")</f>
      </c>
      <c r="AB27" s="23">
        <f t="array" ref="AB27">IFERROR(INDEX($B$119:$B$131,SMALL(IF(INDEX($C$119:$R$131,0,MATCH($U$27,$C$118:$R$118,0))=1,ROW($B$119:$B$131)-ROW($B$119)+1),2)),"")</f>
      </c>
      <c r="AC27" s="23">
        <f t="array" ref="AC27">IFERROR(INDEX($B$119:$B$131,SMALL(IF(INDEX($C$119:$R$131,0,MATCH($U$27,$C$118:$R$118,0))=1,ROW($B$119:$B$131)-ROW($B$119)+1),3)),"")</f>
      </c>
      <c r="AD27" s="23">
        <f t="array" ref="AD27">IFERROR(INDEX($B$119:$B$131,SMALL(IF(INDEX($C$119:$R$131,0,MATCH($U$27,$C$118:$R$118,0))=1,ROW($B$119:$B$131)-ROW($B$119)+1),4)),"")</f>
      </c>
      <c r="AE27" s="23">
        <f t="array" ref="AE27">IFERROR(INDEX($B$119:$B$131,SMALL(IF(INDEX($C$119:$R$131,0,MATCH($U$27,$C$118:$R$118,0))=1,ROW($B$119:$B$131)-ROW($B$119)+1),5)),"")</f>
      </c>
      <c r="AF27" s="23">
        <f t="array" ref="AF27">IFERROR(INDEX($B$119:$B$131,SMALL(IF(INDEX($C$119:$R$131,0,MATCH($U$27,$C$118:$R$118,0))=1,ROW($B$119:$B$131)-ROW($B$119)+1),6)),"")</f>
      </c>
      <c r="AG27" s="23">
        <f t="array" ref="AG27">IFERROR(INDEX($B$119:$B$131,SMALL(IF(INDEX($C$119:$R$131,0,MATCH($U$27,$C$118:$R$118,0))=1,ROW($B$119:$B$131)-ROW($B$119)+1),7)),"")</f>
      </c>
      <c r="AH27" s="23">
        <f t="array" ref="AH27">IFERROR(INDEX($B$119:$B$131,SMALL(IF(INDEX($C$119:$R$131,0,MATCH($U$27,$C$118:$R$118,0))=1,ROW($B$119:$B$131)-ROW($B$119)+1),8)),"")</f>
      </c>
      <c r="AI27" s="23">
        <f t="array" ref="AI27">IFERROR(INDEX($B$119:$B$131,SMALL(IF(INDEX($C$119:$R$131,0,MATCH($U$27,$C$118:$R$118,0))=1,ROW($B$119:$B$131)-ROW($B$119)+1),9)),"")</f>
      </c>
      <c r="AJ27" s="23">
        <f t="array" ref="AJ27">IFERROR(INDEX($B$119:$B$131,SMALL(IF(INDEX($C$119:$R$131,0,MATCH($U$27,$C$118:$R$118,0))=1,ROW($B$119:$B$131)-ROW($B$119)+1),10)),"")</f>
      </c>
      <c r="AK27" s="23">
        <f t="array" ref="AK27">IFERROR(INDEX($B$119:$B$131,SMALL(IF(INDEX($C$119:$R$131,0,MATCH($U$27,$C$118:$R$118,0))=1,ROW($B$119:$B$131)-ROW($B$119)+1),11)),"")</f>
      </c>
      <c r="AL27" s="23">
        <f t="array" ref="AL27">IFERROR(INDEX($B$119:$B$131,SMALL(IF(INDEX($C$119:$R$131,0,MATCH($U$27,$C$118:$R$118,0))=1,ROW($B$119:$B$131)-ROW($B$119)+1),12)),"")</f>
      </c>
      <c r="AM27" s="23">
        <f t="array" ref="AM27">IFERROR(INDEX($B$119:$B$131,SMALL(IF(INDEX($C$119:$R$131,0,MATCH($U$27,$C$118:$R$118,0))=1,ROW($B$119:$B$131)-ROW($B$119)+1),13)),"")</f>
      </c>
    </row>
    <row r="28">
      <c r="A28" t="s" s="21">
        <v>105</v>
      </c>
      <c r="B28" t="s" s="21">
        <v>127</v>
      </c>
      <c r="C28" t="s" s="21">
        <v>123</v>
      </c>
      <c r="D28" t="s" s="20">
        <v>120</v>
      </c>
      <c r="E28" t="s" s="20">
        <v>109</v>
      </c>
      <c r="F28" t="s" s="20">
        <v>120</v>
      </c>
      <c r="G28" t="s" s="20">
        <v>125</v>
      </c>
      <c r="H28" t="s" s="20">
        <v>112</v>
      </c>
      <c r="I28" t="s" s="20">
        <v>113</v>
      </c>
      <c r="J28" t="s" s="20">
        <v>109</v>
      </c>
      <c r="K28" t="s" s="20">
        <v>109</v>
      </c>
      <c r="U28" s="23">
        <f>IF($A$28="","",$A$28&amp;"|"&amp;$B$28&amp;"|"&amp;$C$28)</f>
      </c>
      <c r="V28" s="23">
        <f>COUNTA($F$28:$K$28)</f>
      </c>
      <c r="W28" s="23">
        <f>IF($D$28="","OK",IFERROR(UPPER(INDIRECT("'Famille - "&amp;$D$28&amp;"'!"&amp;ADDRESS(10,(2+IF($A$28="Paire",0,1)*8+(MATCH($B$28,{"Lundi","Mardi","Jeudi","Vendredi"},0)-1)*2+IF($C$28="Matin",0,1))))),"OK"))</f>
      </c>
      <c r="X28" s="23">
        <f>IF($D$28="",0,IFERROR(INDIRECT("'Famille - "&amp;$D$28&amp;"'!"&amp;"$B$5"),0))</f>
      </c>
      <c r="Y28" s="23">
        <f>IF($V$28&gt;$X$28,$V$28-$X$28,0)</f>
      </c>
      <c r="Z28" s="23">
        <f>","&amp;_xlfn.TEXTJOIN(",",TRUE,$F$28:$K$28)&amp;","</f>
      </c>
      <c r="AA28" s="23">
        <f t="array" ref="AA28">IFERROR(INDEX($B$119:$B$131,SMALL(IF(INDEX($C$119:$R$131,0,MATCH($U$28,$C$118:$R$118,0))=1,ROW($B$119:$B$131)-ROW($B$119)+1),1)),"")</f>
      </c>
      <c r="AB28" s="23">
        <f t="array" ref="AB28">IFERROR(INDEX($B$119:$B$131,SMALL(IF(INDEX($C$119:$R$131,0,MATCH($U$28,$C$118:$R$118,0))=1,ROW($B$119:$B$131)-ROW($B$119)+1),2)),"")</f>
      </c>
      <c r="AC28" s="23">
        <f t="array" ref="AC28">IFERROR(INDEX($B$119:$B$131,SMALL(IF(INDEX($C$119:$R$131,0,MATCH($U$28,$C$118:$R$118,0))=1,ROW($B$119:$B$131)-ROW($B$119)+1),3)),"")</f>
      </c>
      <c r="AD28" s="23">
        <f t="array" ref="AD28">IFERROR(INDEX($B$119:$B$131,SMALL(IF(INDEX($C$119:$R$131,0,MATCH($U$28,$C$118:$R$118,0))=1,ROW($B$119:$B$131)-ROW($B$119)+1),4)),"")</f>
      </c>
      <c r="AE28" s="23">
        <f t="array" ref="AE28">IFERROR(INDEX($B$119:$B$131,SMALL(IF(INDEX($C$119:$R$131,0,MATCH($U$28,$C$118:$R$118,0))=1,ROW($B$119:$B$131)-ROW($B$119)+1),5)),"")</f>
      </c>
      <c r="AF28" s="23">
        <f t="array" ref="AF28">IFERROR(INDEX($B$119:$B$131,SMALL(IF(INDEX($C$119:$R$131,0,MATCH($U$28,$C$118:$R$118,0))=1,ROW($B$119:$B$131)-ROW($B$119)+1),6)),"")</f>
      </c>
      <c r="AG28" s="23">
        <f t="array" ref="AG28">IFERROR(INDEX($B$119:$B$131,SMALL(IF(INDEX($C$119:$R$131,0,MATCH($U$28,$C$118:$R$118,0))=1,ROW($B$119:$B$131)-ROW($B$119)+1),7)),"")</f>
      </c>
      <c r="AH28" s="23">
        <f t="array" ref="AH28">IFERROR(INDEX($B$119:$B$131,SMALL(IF(INDEX($C$119:$R$131,0,MATCH($U$28,$C$118:$R$118,0))=1,ROW($B$119:$B$131)-ROW($B$119)+1),8)),"")</f>
      </c>
      <c r="AI28" s="23">
        <f t="array" ref="AI28">IFERROR(INDEX($B$119:$B$131,SMALL(IF(INDEX($C$119:$R$131,0,MATCH($U$28,$C$118:$R$118,0))=1,ROW($B$119:$B$131)-ROW($B$119)+1),9)),"")</f>
      </c>
      <c r="AJ28" s="23">
        <f t="array" ref="AJ28">IFERROR(INDEX($B$119:$B$131,SMALL(IF(INDEX($C$119:$R$131,0,MATCH($U$28,$C$118:$R$118,0))=1,ROW($B$119:$B$131)-ROW($B$119)+1),10)),"")</f>
      </c>
      <c r="AK28" s="23">
        <f t="array" ref="AK28">IFERROR(INDEX($B$119:$B$131,SMALL(IF(INDEX($C$119:$R$131,0,MATCH($U$28,$C$118:$R$118,0))=1,ROW($B$119:$B$131)-ROW($B$119)+1),11)),"")</f>
      </c>
      <c r="AL28" s="23">
        <f t="array" ref="AL28">IFERROR(INDEX($B$119:$B$131,SMALL(IF(INDEX($C$119:$R$131,0,MATCH($U$28,$C$118:$R$118,0))=1,ROW($B$119:$B$131)-ROW($B$119)+1),12)),"")</f>
      </c>
      <c r="AM28" s="23">
        <f t="array" ref="AM28">IFERROR(INDEX($B$119:$B$131,SMALL(IF(INDEX($C$119:$R$131,0,MATCH($U$28,$C$118:$R$118,0))=1,ROW($B$119:$B$131)-ROW($B$119)+1),13)),"")</f>
      </c>
    </row>
    <row r="29">
      <c r="A29" t="s" s="21">
        <v>105</v>
      </c>
      <c r="B29" t="s" s="21">
        <v>127</v>
      </c>
      <c r="C29" t="s" s="21">
        <v>123</v>
      </c>
      <c r="D29" t="s" s="20">
        <v>108</v>
      </c>
      <c r="E29" t="s" s="20">
        <v>109</v>
      </c>
      <c r="F29" t="s" s="20">
        <v>110</v>
      </c>
      <c r="G29" t="s" s="20">
        <v>111</v>
      </c>
      <c r="H29" t="s" s="20">
        <v>114</v>
      </c>
      <c r="I29" t="s" s="20">
        <v>121</v>
      </c>
      <c r="J29" t="s" s="20">
        <v>122</v>
      </c>
      <c r="K29" t="s" s="20">
        <v>109</v>
      </c>
      <c r="U29" s="23">
        <f>IF($A$29="","",$A$29&amp;"|"&amp;$B$29&amp;"|"&amp;$C$29)</f>
      </c>
      <c r="V29" s="23">
        <f>COUNTA($F$29:$K$29)</f>
      </c>
      <c r="W29" s="23">
        <f>IF($D$29="","OK",IFERROR(UPPER(INDIRECT("'Famille - "&amp;$D$29&amp;"'!"&amp;ADDRESS(10,(2+IF($A$29="Paire",0,1)*8+(MATCH($B$29,{"Lundi","Mardi","Jeudi","Vendredi"},0)-1)*2+IF($C$29="Matin",0,1))))),"OK"))</f>
      </c>
      <c r="X29" s="23">
        <f>IF($D$29="",0,IFERROR(INDIRECT("'Famille - "&amp;$D$29&amp;"'!"&amp;"$B$5"),0))</f>
      </c>
      <c r="Y29" s="23">
        <f>IF($V$29&gt;$X$29,$V$29-$X$29,0)</f>
      </c>
      <c r="Z29" s="23">
        <f>","&amp;_xlfn.TEXTJOIN(",",TRUE,$F$29:$K$29)&amp;","</f>
      </c>
      <c r="AA29" s="23">
        <f t="array" ref="AA29">IFERROR(INDEX($B$119:$B$131,SMALL(IF(INDEX($C$119:$R$131,0,MATCH($U$29,$C$118:$R$118,0))=1,ROW($B$119:$B$131)-ROW($B$119)+1),1)),"")</f>
      </c>
      <c r="AB29" s="23">
        <f t="array" ref="AB29">IFERROR(INDEX($B$119:$B$131,SMALL(IF(INDEX($C$119:$R$131,0,MATCH($U$29,$C$118:$R$118,0))=1,ROW($B$119:$B$131)-ROW($B$119)+1),2)),"")</f>
      </c>
      <c r="AC29" s="23">
        <f t="array" ref="AC29">IFERROR(INDEX($B$119:$B$131,SMALL(IF(INDEX($C$119:$R$131,0,MATCH($U$29,$C$118:$R$118,0))=1,ROW($B$119:$B$131)-ROW($B$119)+1),3)),"")</f>
      </c>
      <c r="AD29" s="23">
        <f t="array" ref="AD29">IFERROR(INDEX($B$119:$B$131,SMALL(IF(INDEX($C$119:$R$131,0,MATCH($U$29,$C$118:$R$118,0))=1,ROW($B$119:$B$131)-ROW($B$119)+1),4)),"")</f>
      </c>
      <c r="AE29" s="23">
        <f t="array" ref="AE29">IFERROR(INDEX($B$119:$B$131,SMALL(IF(INDEX($C$119:$R$131,0,MATCH($U$29,$C$118:$R$118,0))=1,ROW($B$119:$B$131)-ROW($B$119)+1),5)),"")</f>
      </c>
      <c r="AF29" s="23">
        <f t="array" ref="AF29">IFERROR(INDEX($B$119:$B$131,SMALL(IF(INDEX($C$119:$R$131,0,MATCH($U$29,$C$118:$R$118,0))=1,ROW($B$119:$B$131)-ROW($B$119)+1),6)),"")</f>
      </c>
      <c r="AG29" s="23">
        <f t="array" ref="AG29">IFERROR(INDEX($B$119:$B$131,SMALL(IF(INDEX($C$119:$R$131,0,MATCH($U$29,$C$118:$R$118,0))=1,ROW($B$119:$B$131)-ROW($B$119)+1),7)),"")</f>
      </c>
      <c r="AH29" s="23">
        <f t="array" ref="AH29">IFERROR(INDEX($B$119:$B$131,SMALL(IF(INDEX($C$119:$R$131,0,MATCH($U$29,$C$118:$R$118,0))=1,ROW($B$119:$B$131)-ROW($B$119)+1),8)),"")</f>
      </c>
      <c r="AI29" s="23">
        <f t="array" ref="AI29">IFERROR(INDEX($B$119:$B$131,SMALL(IF(INDEX($C$119:$R$131,0,MATCH($U$29,$C$118:$R$118,0))=1,ROW($B$119:$B$131)-ROW($B$119)+1),9)),"")</f>
      </c>
      <c r="AJ29" s="23">
        <f t="array" ref="AJ29">IFERROR(INDEX($B$119:$B$131,SMALL(IF(INDEX($C$119:$R$131,0,MATCH($U$29,$C$118:$R$118,0))=1,ROW($B$119:$B$131)-ROW($B$119)+1),10)),"")</f>
      </c>
      <c r="AK29" s="23">
        <f t="array" ref="AK29">IFERROR(INDEX($B$119:$B$131,SMALL(IF(INDEX($C$119:$R$131,0,MATCH($U$29,$C$118:$R$118,0))=1,ROW($B$119:$B$131)-ROW($B$119)+1),11)),"")</f>
      </c>
      <c r="AL29" s="23">
        <f t="array" ref="AL29">IFERROR(INDEX($B$119:$B$131,SMALL(IF(INDEX($C$119:$R$131,0,MATCH($U$29,$C$118:$R$118,0))=1,ROW($B$119:$B$131)-ROW($B$119)+1),12)),"")</f>
      </c>
      <c r="AM29" s="23">
        <f t="array" ref="AM29">IFERROR(INDEX($B$119:$B$131,SMALL(IF(INDEX($C$119:$R$131,0,MATCH($U$29,$C$118:$R$118,0))=1,ROW($B$119:$B$131)-ROW($B$119)+1),13)),"")</f>
      </c>
    </row>
    <row r="30">
      <c r="A30" t="s" s="21">
        <v>105</v>
      </c>
      <c r="B30" t="s" s="21">
        <v>127</v>
      </c>
      <c r="C30" t="s" s="21">
        <v>123</v>
      </c>
      <c r="D30" t="s" s="20">
        <v>112</v>
      </c>
      <c r="E30" t="s" s="20">
        <v>109</v>
      </c>
      <c r="F30" t="s" s="20">
        <v>119</v>
      </c>
      <c r="G30" t="s" s="20">
        <v>116</v>
      </c>
      <c r="H30" t="s" s="20">
        <v>117</v>
      </c>
      <c r="I30" t="s" s="20">
        <v>109</v>
      </c>
      <c r="J30" t="s" s="20">
        <v>109</v>
      </c>
      <c r="K30" t="s" s="20">
        <v>109</v>
      </c>
      <c r="U30" s="23">
        <f>IF($A$30="","",$A$30&amp;"|"&amp;$B$30&amp;"|"&amp;$C$30)</f>
      </c>
      <c r="V30" s="23">
        <f>COUNTA($F$30:$K$30)</f>
      </c>
      <c r="W30" s="23">
        <f>IF($D$30="","OK",IFERROR(UPPER(INDIRECT("'Famille - "&amp;$D$30&amp;"'!"&amp;ADDRESS(10,(2+IF($A$30="Paire",0,1)*8+(MATCH($B$30,{"Lundi","Mardi","Jeudi","Vendredi"},0)-1)*2+IF($C$30="Matin",0,1))))),"OK"))</f>
      </c>
      <c r="X30" s="23">
        <f>IF($D$30="",0,IFERROR(INDIRECT("'Famille - "&amp;$D$30&amp;"'!"&amp;"$B$5"),0))</f>
      </c>
      <c r="Y30" s="23">
        <f>IF($V$30&gt;$X$30,$V$30-$X$30,0)</f>
      </c>
      <c r="Z30" s="23">
        <f>","&amp;_xlfn.TEXTJOIN(",",TRUE,$F$30:$K$30)&amp;","</f>
      </c>
      <c r="AA30" s="23">
        <f t="array" ref="AA30">IFERROR(INDEX($B$119:$B$131,SMALL(IF(INDEX($C$119:$R$131,0,MATCH($U$30,$C$118:$R$118,0))=1,ROW($B$119:$B$131)-ROW($B$119)+1),1)),"")</f>
      </c>
      <c r="AB30" s="23">
        <f t="array" ref="AB30">IFERROR(INDEX($B$119:$B$131,SMALL(IF(INDEX($C$119:$R$131,0,MATCH($U$30,$C$118:$R$118,0))=1,ROW($B$119:$B$131)-ROW($B$119)+1),2)),"")</f>
      </c>
      <c r="AC30" s="23">
        <f t="array" ref="AC30">IFERROR(INDEX($B$119:$B$131,SMALL(IF(INDEX($C$119:$R$131,0,MATCH($U$30,$C$118:$R$118,0))=1,ROW($B$119:$B$131)-ROW($B$119)+1),3)),"")</f>
      </c>
      <c r="AD30" s="23">
        <f t="array" ref="AD30">IFERROR(INDEX($B$119:$B$131,SMALL(IF(INDEX($C$119:$R$131,0,MATCH($U$30,$C$118:$R$118,0))=1,ROW($B$119:$B$131)-ROW($B$119)+1),4)),"")</f>
      </c>
      <c r="AE30" s="23">
        <f t="array" ref="AE30">IFERROR(INDEX($B$119:$B$131,SMALL(IF(INDEX($C$119:$R$131,0,MATCH($U$30,$C$118:$R$118,0))=1,ROW($B$119:$B$131)-ROW($B$119)+1),5)),"")</f>
      </c>
      <c r="AF30" s="23">
        <f t="array" ref="AF30">IFERROR(INDEX($B$119:$B$131,SMALL(IF(INDEX($C$119:$R$131,0,MATCH($U$30,$C$118:$R$118,0))=1,ROW($B$119:$B$131)-ROW($B$119)+1),6)),"")</f>
      </c>
      <c r="AG30" s="23">
        <f t="array" ref="AG30">IFERROR(INDEX($B$119:$B$131,SMALL(IF(INDEX($C$119:$R$131,0,MATCH($U$30,$C$118:$R$118,0))=1,ROW($B$119:$B$131)-ROW($B$119)+1),7)),"")</f>
      </c>
      <c r="AH30" s="23">
        <f t="array" ref="AH30">IFERROR(INDEX($B$119:$B$131,SMALL(IF(INDEX($C$119:$R$131,0,MATCH($U$30,$C$118:$R$118,0))=1,ROW($B$119:$B$131)-ROW($B$119)+1),8)),"")</f>
      </c>
      <c r="AI30" s="23">
        <f t="array" ref="AI30">IFERROR(INDEX($B$119:$B$131,SMALL(IF(INDEX($C$119:$R$131,0,MATCH($U$30,$C$118:$R$118,0))=1,ROW($B$119:$B$131)-ROW($B$119)+1),9)),"")</f>
      </c>
      <c r="AJ30" s="23">
        <f t="array" ref="AJ30">IFERROR(INDEX($B$119:$B$131,SMALL(IF(INDEX($C$119:$R$131,0,MATCH($U$30,$C$118:$R$118,0))=1,ROW($B$119:$B$131)-ROW($B$119)+1),10)),"")</f>
      </c>
      <c r="AK30" s="23">
        <f t="array" ref="AK30">IFERROR(INDEX($B$119:$B$131,SMALL(IF(INDEX($C$119:$R$131,0,MATCH($U$30,$C$118:$R$118,0))=1,ROW($B$119:$B$131)-ROW($B$119)+1),11)),"")</f>
      </c>
      <c r="AL30" s="23">
        <f t="array" ref="AL30">IFERROR(INDEX($B$119:$B$131,SMALL(IF(INDEX($C$119:$R$131,0,MATCH($U$30,$C$118:$R$118,0))=1,ROW($B$119:$B$131)-ROW($B$119)+1),12)),"")</f>
      </c>
      <c r="AM30" s="23">
        <f t="array" ref="AM30">IFERROR(INDEX($B$119:$B$131,SMALL(IF(INDEX($C$119:$R$131,0,MATCH($U$30,$C$118:$R$118,0))=1,ROW($B$119:$B$131)-ROW($B$119)+1),13)),"")</f>
      </c>
    </row>
    <row r="31">
      <c r="A31" t="s" s="21">
        <v>128</v>
      </c>
      <c r="B31" t="s" s="21">
        <v>106</v>
      </c>
      <c r="C31" t="s" s="21">
        <v>107</v>
      </c>
      <c r="D31" t="s" s="20">
        <v>115</v>
      </c>
      <c r="E31" t="s" s="20">
        <v>109</v>
      </c>
      <c r="F31" t="s" s="20">
        <v>116</v>
      </c>
      <c r="G31" t="s" s="20">
        <v>117</v>
      </c>
      <c r="H31" t="s" s="20">
        <v>125</v>
      </c>
      <c r="I31" t="s" s="20">
        <v>109</v>
      </c>
      <c r="J31" t="s" s="20">
        <v>109</v>
      </c>
      <c r="K31" t="s" s="20">
        <v>109</v>
      </c>
      <c r="U31" s="23">
        <f>IF($A$31="","",$A$31&amp;"|"&amp;$B$31&amp;"|"&amp;$C$31)</f>
      </c>
      <c r="V31" s="23">
        <f>COUNTA($F$31:$K$31)</f>
      </c>
      <c r="W31" s="23">
        <f>IF($D$31="","OK",IFERROR(UPPER(INDIRECT("'Famille - "&amp;$D$31&amp;"'!"&amp;ADDRESS(10,(2+IF($A$31="Paire",0,1)*8+(MATCH($B$31,{"Lundi","Mardi","Jeudi","Vendredi"},0)-1)*2+IF($C$31="Matin",0,1))))),"OK"))</f>
      </c>
      <c r="X31" s="23">
        <f>IF($D$31="",0,IFERROR(INDIRECT("'Famille - "&amp;$D$31&amp;"'!"&amp;"$B$5"),0))</f>
      </c>
      <c r="Y31" s="23">
        <f>IF($V$31&gt;$X$31,$V$31-$X$31,0)</f>
      </c>
      <c r="Z31" s="23">
        <f>","&amp;_xlfn.TEXTJOIN(",",TRUE,$F$31:$K$31)&amp;","</f>
      </c>
      <c r="AA31" s="23">
        <f t="array" ref="AA31">IFERROR(INDEX($B$119:$B$131,SMALL(IF(INDEX($C$119:$R$131,0,MATCH($U$31,$C$118:$R$118,0))=1,ROW($B$119:$B$131)-ROW($B$119)+1),1)),"")</f>
      </c>
      <c r="AB31" s="23">
        <f t="array" ref="AB31">IFERROR(INDEX($B$119:$B$131,SMALL(IF(INDEX($C$119:$R$131,0,MATCH($U$31,$C$118:$R$118,0))=1,ROW($B$119:$B$131)-ROW($B$119)+1),2)),"")</f>
      </c>
      <c r="AC31" s="23">
        <f t="array" ref="AC31">IFERROR(INDEX($B$119:$B$131,SMALL(IF(INDEX($C$119:$R$131,0,MATCH($U$31,$C$118:$R$118,0))=1,ROW($B$119:$B$131)-ROW($B$119)+1),3)),"")</f>
      </c>
      <c r="AD31" s="23">
        <f t="array" ref="AD31">IFERROR(INDEX($B$119:$B$131,SMALL(IF(INDEX($C$119:$R$131,0,MATCH($U$31,$C$118:$R$118,0))=1,ROW($B$119:$B$131)-ROW($B$119)+1),4)),"")</f>
      </c>
      <c r="AE31" s="23">
        <f t="array" ref="AE31">IFERROR(INDEX($B$119:$B$131,SMALL(IF(INDEX($C$119:$R$131,0,MATCH($U$31,$C$118:$R$118,0))=1,ROW($B$119:$B$131)-ROW($B$119)+1),5)),"")</f>
      </c>
      <c r="AF31" s="23">
        <f t="array" ref="AF31">IFERROR(INDEX($B$119:$B$131,SMALL(IF(INDEX($C$119:$R$131,0,MATCH($U$31,$C$118:$R$118,0))=1,ROW($B$119:$B$131)-ROW($B$119)+1),6)),"")</f>
      </c>
      <c r="AG31" s="23">
        <f t="array" ref="AG31">IFERROR(INDEX($B$119:$B$131,SMALL(IF(INDEX($C$119:$R$131,0,MATCH($U$31,$C$118:$R$118,0))=1,ROW($B$119:$B$131)-ROW($B$119)+1),7)),"")</f>
      </c>
      <c r="AH31" s="23">
        <f t="array" ref="AH31">IFERROR(INDEX($B$119:$B$131,SMALL(IF(INDEX($C$119:$R$131,0,MATCH($U$31,$C$118:$R$118,0))=1,ROW($B$119:$B$131)-ROW($B$119)+1),8)),"")</f>
      </c>
      <c r="AI31" s="23">
        <f t="array" ref="AI31">IFERROR(INDEX($B$119:$B$131,SMALL(IF(INDEX($C$119:$R$131,0,MATCH($U$31,$C$118:$R$118,0))=1,ROW($B$119:$B$131)-ROW($B$119)+1),9)),"")</f>
      </c>
      <c r="AJ31" s="23">
        <f t="array" ref="AJ31">IFERROR(INDEX($B$119:$B$131,SMALL(IF(INDEX($C$119:$R$131,0,MATCH($U$31,$C$118:$R$118,0))=1,ROW($B$119:$B$131)-ROW($B$119)+1),10)),"")</f>
      </c>
      <c r="AK31" s="23">
        <f t="array" ref="AK31">IFERROR(INDEX($B$119:$B$131,SMALL(IF(INDEX($C$119:$R$131,0,MATCH($U$31,$C$118:$R$118,0))=1,ROW($B$119:$B$131)-ROW($B$119)+1),11)),"")</f>
      </c>
      <c r="AL31" s="23">
        <f t="array" ref="AL31">IFERROR(INDEX($B$119:$B$131,SMALL(IF(INDEX($C$119:$R$131,0,MATCH($U$31,$C$118:$R$118,0))=1,ROW($B$119:$B$131)-ROW($B$119)+1),12)),"")</f>
      </c>
      <c r="AM31" s="23">
        <f t="array" ref="AM31">IFERROR(INDEX($B$119:$B$131,SMALL(IF(INDEX($C$119:$R$131,0,MATCH($U$31,$C$118:$R$118,0))=1,ROW($B$119:$B$131)-ROW($B$119)+1),13)),"")</f>
      </c>
    </row>
    <row r="32">
      <c r="A32" t="s" s="21">
        <v>128</v>
      </c>
      <c r="B32" t="s" s="21">
        <v>106</v>
      </c>
      <c r="C32" t="s" s="21">
        <v>107</v>
      </c>
      <c r="D32" t="s" s="20">
        <v>112</v>
      </c>
      <c r="E32" t="s" s="20">
        <v>109</v>
      </c>
      <c r="F32" t="s" s="20">
        <v>112</v>
      </c>
      <c r="G32" t="s" s="20">
        <v>113</v>
      </c>
      <c r="H32" t="s" s="20">
        <v>114</v>
      </c>
      <c r="I32" t="s" s="20">
        <v>120</v>
      </c>
      <c r="J32" t="s" s="20">
        <v>109</v>
      </c>
      <c r="K32" t="s" s="20">
        <v>109</v>
      </c>
      <c r="U32" s="23">
        <f>IF($A$32="","",$A$32&amp;"|"&amp;$B$32&amp;"|"&amp;$C$32)</f>
      </c>
      <c r="V32" s="23">
        <f>COUNTA($F$32:$K$32)</f>
      </c>
      <c r="W32" s="23">
        <f>IF($D$32="","OK",IFERROR(UPPER(INDIRECT("'Famille - "&amp;$D$32&amp;"'!"&amp;ADDRESS(10,(2+IF($A$32="Paire",0,1)*8+(MATCH($B$32,{"Lundi","Mardi","Jeudi","Vendredi"},0)-1)*2+IF($C$32="Matin",0,1))))),"OK"))</f>
      </c>
      <c r="X32" s="23">
        <f>IF($D$32="",0,IFERROR(INDIRECT("'Famille - "&amp;$D$32&amp;"'!"&amp;"$B$5"),0))</f>
      </c>
      <c r="Y32" s="23">
        <f>IF($V$32&gt;$X$32,$V$32-$X$32,0)</f>
      </c>
      <c r="Z32" s="23">
        <f>","&amp;_xlfn.TEXTJOIN(",",TRUE,$F$32:$K$32)&amp;","</f>
      </c>
      <c r="AA32" s="23">
        <f t="array" ref="AA32">IFERROR(INDEX($B$119:$B$131,SMALL(IF(INDEX($C$119:$R$131,0,MATCH($U$32,$C$118:$R$118,0))=1,ROW($B$119:$B$131)-ROW($B$119)+1),1)),"")</f>
      </c>
      <c r="AB32" s="23">
        <f t="array" ref="AB32">IFERROR(INDEX($B$119:$B$131,SMALL(IF(INDEX($C$119:$R$131,0,MATCH($U$32,$C$118:$R$118,0))=1,ROW($B$119:$B$131)-ROW($B$119)+1),2)),"")</f>
      </c>
      <c r="AC32" s="23">
        <f t="array" ref="AC32">IFERROR(INDEX($B$119:$B$131,SMALL(IF(INDEX($C$119:$R$131,0,MATCH($U$32,$C$118:$R$118,0))=1,ROW($B$119:$B$131)-ROW($B$119)+1),3)),"")</f>
      </c>
      <c r="AD32" s="23">
        <f t="array" ref="AD32">IFERROR(INDEX($B$119:$B$131,SMALL(IF(INDEX($C$119:$R$131,0,MATCH($U$32,$C$118:$R$118,0))=1,ROW($B$119:$B$131)-ROW($B$119)+1),4)),"")</f>
      </c>
      <c r="AE32" s="23">
        <f t="array" ref="AE32">IFERROR(INDEX($B$119:$B$131,SMALL(IF(INDEX($C$119:$R$131,0,MATCH($U$32,$C$118:$R$118,0))=1,ROW($B$119:$B$131)-ROW($B$119)+1),5)),"")</f>
      </c>
      <c r="AF32" s="23">
        <f t="array" ref="AF32">IFERROR(INDEX($B$119:$B$131,SMALL(IF(INDEX($C$119:$R$131,0,MATCH($U$32,$C$118:$R$118,0))=1,ROW($B$119:$B$131)-ROW($B$119)+1),6)),"")</f>
      </c>
      <c r="AG32" s="23">
        <f t="array" ref="AG32">IFERROR(INDEX($B$119:$B$131,SMALL(IF(INDEX($C$119:$R$131,0,MATCH($U$32,$C$118:$R$118,0))=1,ROW($B$119:$B$131)-ROW($B$119)+1),7)),"")</f>
      </c>
      <c r="AH32" s="23">
        <f t="array" ref="AH32">IFERROR(INDEX($B$119:$B$131,SMALL(IF(INDEX($C$119:$R$131,0,MATCH($U$32,$C$118:$R$118,0))=1,ROW($B$119:$B$131)-ROW($B$119)+1),8)),"")</f>
      </c>
      <c r="AI32" s="23">
        <f t="array" ref="AI32">IFERROR(INDEX($B$119:$B$131,SMALL(IF(INDEX($C$119:$R$131,0,MATCH($U$32,$C$118:$R$118,0))=1,ROW($B$119:$B$131)-ROW($B$119)+1),9)),"")</f>
      </c>
      <c r="AJ32" s="23">
        <f t="array" ref="AJ32">IFERROR(INDEX($B$119:$B$131,SMALL(IF(INDEX($C$119:$R$131,0,MATCH($U$32,$C$118:$R$118,0))=1,ROW($B$119:$B$131)-ROW($B$119)+1),10)),"")</f>
      </c>
      <c r="AK32" s="23">
        <f t="array" ref="AK32">IFERROR(INDEX($B$119:$B$131,SMALL(IF(INDEX($C$119:$R$131,0,MATCH($U$32,$C$118:$R$118,0))=1,ROW($B$119:$B$131)-ROW($B$119)+1),11)),"")</f>
      </c>
      <c r="AL32" s="23">
        <f t="array" ref="AL32">IFERROR(INDEX($B$119:$B$131,SMALL(IF(INDEX($C$119:$R$131,0,MATCH($U$32,$C$118:$R$118,0))=1,ROW($B$119:$B$131)-ROW($B$119)+1),12)),"")</f>
      </c>
      <c r="AM32" s="23">
        <f t="array" ref="AM32">IFERROR(INDEX($B$119:$B$131,SMALL(IF(INDEX($C$119:$R$131,0,MATCH($U$32,$C$118:$R$118,0))=1,ROW($B$119:$B$131)-ROW($B$119)+1),13)),"")</f>
      </c>
    </row>
    <row r="33">
      <c r="A33" t="s" s="21">
        <v>128</v>
      </c>
      <c r="B33" t="s" s="21">
        <v>106</v>
      </c>
      <c r="C33" t="s" s="21">
        <v>107</v>
      </c>
      <c r="D33" t="s" s="20">
        <v>121</v>
      </c>
      <c r="E33" t="s" s="20">
        <v>109</v>
      </c>
      <c r="F33" t="s" s="20">
        <v>121</v>
      </c>
      <c r="G33" t="s" s="20">
        <v>119</v>
      </c>
      <c r="H33" t="s" s="20">
        <v>109</v>
      </c>
      <c r="I33" t="s" s="20">
        <v>109</v>
      </c>
      <c r="J33" t="s" s="20">
        <v>109</v>
      </c>
      <c r="K33" t="s" s="20">
        <v>109</v>
      </c>
      <c r="U33" s="23">
        <f>IF($A$33="","",$A$33&amp;"|"&amp;$B$33&amp;"|"&amp;$C$33)</f>
      </c>
      <c r="V33" s="23">
        <f>COUNTA($F$33:$K$33)</f>
      </c>
      <c r="W33" s="23">
        <f>IF($D$33="","OK",IFERROR(UPPER(INDIRECT("'Famille - "&amp;$D$33&amp;"'!"&amp;ADDRESS(10,(2+IF($A$33="Paire",0,1)*8+(MATCH($B$33,{"Lundi","Mardi","Jeudi","Vendredi"},0)-1)*2+IF($C$33="Matin",0,1))))),"OK"))</f>
      </c>
      <c r="X33" s="23">
        <f>IF($D$33="",0,IFERROR(INDIRECT("'Famille - "&amp;$D$33&amp;"'!"&amp;"$B$5"),0))</f>
      </c>
      <c r="Y33" s="23">
        <f>IF($V$33&gt;$X$33,$V$33-$X$33,0)</f>
      </c>
      <c r="Z33" s="23">
        <f>","&amp;_xlfn.TEXTJOIN(",",TRUE,$F$33:$K$33)&amp;","</f>
      </c>
      <c r="AA33" s="23">
        <f t="array" ref="AA33">IFERROR(INDEX($B$119:$B$131,SMALL(IF(INDEX($C$119:$R$131,0,MATCH($U$33,$C$118:$R$118,0))=1,ROW($B$119:$B$131)-ROW($B$119)+1),1)),"")</f>
      </c>
      <c r="AB33" s="23">
        <f t="array" ref="AB33">IFERROR(INDEX($B$119:$B$131,SMALL(IF(INDEX($C$119:$R$131,0,MATCH($U$33,$C$118:$R$118,0))=1,ROW($B$119:$B$131)-ROW($B$119)+1),2)),"")</f>
      </c>
      <c r="AC33" s="23">
        <f t="array" ref="AC33">IFERROR(INDEX($B$119:$B$131,SMALL(IF(INDEX($C$119:$R$131,0,MATCH($U$33,$C$118:$R$118,0))=1,ROW($B$119:$B$131)-ROW($B$119)+1),3)),"")</f>
      </c>
      <c r="AD33" s="23">
        <f t="array" ref="AD33">IFERROR(INDEX($B$119:$B$131,SMALL(IF(INDEX($C$119:$R$131,0,MATCH($U$33,$C$118:$R$118,0))=1,ROW($B$119:$B$131)-ROW($B$119)+1),4)),"")</f>
      </c>
      <c r="AE33" s="23">
        <f t="array" ref="AE33">IFERROR(INDEX($B$119:$B$131,SMALL(IF(INDEX($C$119:$R$131,0,MATCH($U$33,$C$118:$R$118,0))=1,ROW($B$119:$B$131)-ROW($B$119)+1),5)),"")</f>
      </c>
      <c r="AF33" s="23">
        <f t="array" ref="AF33">IFERROR(INDEX($B$119:$B$131,SMALL(IF(INDEX($C$119:$R$131,0,MATCH($U$33,$C$118:$R$118,0))=1,ROW($B$119:$B$131)-ROW($B$119)+1),6)),"")</f>
      </c>
      <c r="AG33" s="23">
        <f t="array" ref="AG33">IFERROR(INDEX($B$119:$B$131,SMALL(IF(INDEX($C$119:$R$131,0,MATCH($U$33,$C$118:$R$118,0))=1,ROW($B$119:$B$131)-ROW($B$119)+1),7)),"")</f>
      </c>
      <c r="AH33" s="23">
        <f t="array" ref="AH33">IFERROR(INDEX($B$119:$B$131,SMALL(IF(INDEX($C$119:$R$131,0,MATCH($U$33,$C$118:$R$118,0))=1,ROW($B$119:$B$131)-ROW($B$119)+1),8)),"")</f>
      </c>
      <c r="AI33" s="23">
        <f t="array" ref="AI33">IFERROR(INDEX($B$119:$B$131,SMALL(IF(INDEX($C$119:$R$131,0,MATCH($U$33,$C$118:$R$118,0))=1,ROW($B$119:$B$131)-ROW($B$119)+1),9)),"")</f>
      </c>
      <c r="AJ33" s="23">
        <f t="array" ref="AJ33">IFERROR(INDEX($B$119:$B$131,SMALL(IF(INDEX($C$119:$R$131,0,MATCH($U$33,$C$118:$R$118,0))=1,ROW($B$119:$B$131)-ROW($B$119)+1),10)),"")</f>
      </c>
      <c r="AK33" s="23">
        <f t="array" ref="AK33">IFERROR(INDEX($B$119:$B$131,SMALL(IF(INDEX($C$119:$R$131,0,MATCH($U$33,$C$118:$R$118,0))=1,ROW($B$119:$B$131)-ROW($B$119)+1),11)),"")</f>
      </c>
      <c r="AL33" s="23">
        <f t="array" ref="AL33">IFERROR(INDEX($B$119:$B$131,SMALL(IF(INDEX($C$119:$R$131,0,MATCH($U$33,$C$118:$R$118,0))=1,ROW($B$119:$B$131)-ROW($B$119)+1),12)),"")</f>
      </c>
      <c r="AM33" s="23">
        <f t="array" ref="AM33">IFERROR(INDEX($B$119:$B$131,SMALL(IF(INDEX($C$119:$R$131,0,MATCH($U$33,$C$118:$R$118,0))=1,ROW($B$119:$B$131)-ROW($B$119)+1),13)),"")</f>
      </c>
    </row>
    <row r="34">
      <c r="A34" t="s" s="21">
        <v>128</v>
      </c>
      <c r="B34" t="s" s="21">
        <v>106</v>
      </c>
      <c r="C34" t="s" s="21">
        <v>107</v>
      </c>
      <c r="D34" t="s" s="20">
        <v>108</v>
      </c>
      <c r="E34" t="s" s="20">
        <v>109</v>
      </c>
      <c r="F34" t="s" s="20">
        <v>110</v>
      </c>
      <c r="G34" t="s" s="20">
        <v>111</v>
      </c>
      <c r="H34" t="s" s="20">
        <v>122</v>
      </c>
      <c r="I34" t="s" s="20">
        <v>109</v>
      </c>
      <c r="J34" t="s" s="20">
        <v>109</v>
      </c>
      <c r="K34" t="s" s="20">
        <v>109</v>
      </c>
      <c r="U34" s="23">
        <f>IF($A$34="","",$A$34&amp;"|"&amp;$B$34&amp;"|"&amp;$C$34)</f>
      </c>
      <c r="V34" s="23">
        <f>COUNTA($F$34:$K$34)</f>
      </c>
      <c r="W34" s="23">
        <f>IF($D$34="","OK",IFERROR(UPPER(INDIRECT("'Famille - "&amp;$D$34&amp;"'!"&amp;ADDRESS(10,(2+IF($A$34="Paire",0,1)*8+(MATCH($B$34,{"Lundi","Mardi","Jeudi","Vendredi"},0)-1)*2+IF($C$34="Matin",0,1))))),"OK"))</f>
      </c>
      <c r="X34" s="23">
        <f>IF($D$34="",0,IFERROR(INDIRECT("'Famille - "&amp;$D$34&amp;"'!"&amp;"$B$5"),0))</f>
      </c>
      <c r="Y34" s="23">
        <f>IF($V$34&gt;$X$34,$V$34-$X$34,0)</f>
      </c>
      <c r="Z34" s="23">
        <f>","&amp;_xlfn.TEXTJOIN(",",TRUE,$F$34:$K$34)&amp;","</f>
      </c>
      <c r="AA34" s="23">
        <f t="array" ref="AA34">IFERROR(INDEX($B$119:$B$131,SMALL(IF(INDEX($C$119:$R$131,0,MATCH($U$34,$C$118:$R$118,0))=1,ROW($B$119:$B$131)-ROW($B$119)+1),1)),"")</f>
      </c>
      <c r="AB34" s="23">
        <f t="array" ref="AB34">IFERROR(INDEX($B$119:$B$131,SMALL(IF(INDEX($C$119:$R$131,0,MATCH($U$34,$C$118:$R$118,0))=1,ROW($B$119:$B$131)-ROW($B$119)+1),2)),"")</f>
      </c>
      <c r="AC34" s="23">
        <f t="array" ref="AC34">IFERROR(INDEX($B$119:$B$131,SMALL(IF(INDEX($C$119:$R$131,0,MATCH($U$34,$C$118:$R$118,0))=1,ROW($B$119:$B$131)-ROW($B$119)+1),3)),"")</f>
      </c>
      <c r="AD34" s="23">
        <f t="array" ref="AD34">IFERROR(INDEX($B$119:$B$131,SMALL(IF(INDEX($C$119:$R$131,0,MATCH($U$34,$C$118:$R$118,0))=1,ROW($B$119:$B$131)-ROW($B$119)+1),4)),"")</f>
      </c>
      <c r="AE34" s="23">
        <f t="array" ref="AE34">IFERROR(INDEX($B$119:$B$131,SMALL(IF(INDEX($C$119:$R$131,0,MATCH($U$34,$C$118:$R$118,0))=1,ROW($B$119:$B$131)-ROW($B$119)+1),5)),"")</f>
      </c>
      <c r="AF34" s="23">
        <f t="array" ref="AF34">IFERROR(INDEX($B$119:$B$131,SMALL(IF(INDEX($C$119:$R$131,0,MATCH($U$34,$C$118:$R$118,0))=1,ROW($B$119:$B$131)-ROW($B$119)+1),6)),"")</f>
      </c>
      <c r="AG34" s="23">
        <f t="array" ref="AG34">IFERROR(INDEX($B$119:$B$131,SMALL(IF(INDEX($C$119:$R$131,0,MATCH($U$34,$C$118:$R$118,0))=1,ROW($B$119:$B$131)-ROW($B$119)+1),7)),"")</f>
      </c>
      <c r="AH34" s="23">
        <f t="array" ref="AH34">IFERROR(INDEX($B$119:$B$131,SMALL(IF(INDEX($C$119:$R$131,0,MATCH($U$34,$C$118:$R$118,0))=1,ROW($B$119:$B$131)-ROW($B$119)+1),8)),"")</f>
      </c>
      <c r="AI34" s="23">
        <f t="array" ref="AI34">IFERROR(INDEX($B$119:$B$131,SMALL(IF(INDEX($C$119:$R$131,0,MATCH($U$34,$C$118:$R$118,0))=1,ROW($B$119:$B$131)-ROW($B$119)+1),9)),"")</f>
      </c>
      <c r="AJ34" s="23">
        <f t="array" ref="AJ34">IFERROR(INDEX($B$119:$B$131,SMALL(IF(INDEX($C$119:$R$131,0,MATCH($U$34,$C$118:$R$118,0))=1,ROW($B$119:$B$131)-ROW($B$119)+1),10)),"")</f>
      </c>
      <c r="AK34" s="23">
        <f t="array" ref="AK34">IFERROR(INDEX($B$119:$B$131,SMALL(IF(INDEX($C$119:$R$131,0,MATCH($U$34,$C$118:$R$118,0))=1,ROW($B$119:$B$131)-ROW($B$119)+1),11)),"")</f>
      </c>
      <c r="AL34" s="23">
        <f t="array" ref="AL34">IFERROR(INDEX($B$119:$B$131,SMALL(IF(INDEX($C$119:$R$131,0,MATCH($U$34,$C$118:$R$118,0))=1,ROW($B$119:$B$131)-ROW($B$119)+1),12)),"")</f>
      </c>
      <c r="AM34" s="23">
        <f t="array" ref="AM34">IFERROR(INDEX($B$119:$B$131,SMALL(IF(INDEX($C$119:$R$131,0,MATCH($U$34,$C$118:$R$118,0))=1,ROW($B$119:$B$131)-ROW($B$119)+1),13)),"")</f>
      </c>
    </row>
    <row r="35">
      <c r="A35" t="s" s="21">
        <v>128</v>
      </c>
      <c r="B35" t="s" s="21">
        <v>106</v>
      </c>
      <c r="C35" t="s" s="21">
        <v>123</v>
      </c>
      <c r="D35" t="s" s="20">
        <v>114</v>
      </c>
      <c r="E35" t="s" s="20">
        <v>109</v>
      </c>
      <c r="F35" t="s" s="20">
        <v>114</v>
      </c>
      <c r="G35" t="s" s="20">
        <v>125</v>
      </c>
      <c r="H35" t="s" s="20">
        <v>109</v>
      </c>
      <c r="I35" t="s" s="20">
        <v>109</v>
      </c>
      <c r="J35" t="s" s="20">
        <v>109</v>
      </c>
      <c r="K35" t="s" s="20">
        <v>109</v>
      </c>
      <c r="U35" s="23">
        <f>IF($A$35="","",$A$35&amp;"|"&amp;$B$35&amp;"|"&amp;$C$35)</f>
      </c>
      <c r="V35" s="23">
        <f>COUNTA($F$35:$K$35)</f>
      </c>
      <c r="W35" s="23">
        <f>IF($D$35="","OK",IFERROR(UPPER(INDIRECT("'Famille - "&amp;$D$35&amp;"'!"&amp;ADDRESS(10,(2+IF($A$35="Paire",0,1)*8+(MATCH($B$35,{"Lundi","Mardi","Jeudi","Vendredi"},0)-1)*2+IF($C$35="Matin",0,1))))),"OK"))</f>
      </c>
      <c r="X35" s="23">
        <f>IF($D$35="",0,IFERROR(INDIRECT("'Famille - "&amp;$D$35&amp;"'!"&amp;"$B$5"),0))</f>
      </c>
      <c r="Y35" s="23">
        <f>IF($V$35&gt;$X$35,$V$35-$X$35,0)</f>
      </c>
      <c r="Z35" s="23">
        <f>","&amp;_xlfn.TEXTJOIN(",",TRUE,$F$35:$K$35)&amp;","</f>
      </c>
      <c r="AA35" s="23">
        <f t="array" ref="AA35">IFERROR(INDEX($B$119:$B$131,SMALL(IF(INDEX($C$119:$R$131,0,MATCH($U$35,$C$118:$R$118,0))=1,ROW($B$119:$B$131)-ROW($B$119)+1),1)),"")</f>
      </c>
      <c r="AB35" s="23">
        <f t="array" ref="AB35">IFERROR(INDEX($B$119:$B$131,SMALL(IF(INDEX($C$119:$R$131,0,MATCH($U$35,$C$118:$R$118,0))=1,ROW($B$119:$B$131)-ROW($B$119)+1),2)),"")</f>
      </c>
      <c r="AC35" s="23">
        <f t="array" ref="AC35">IFERROR(INDEX($B$119:$B$131,SMALL(IF(INDEX($C$119:$R$131,0,MATCH($U$35,$C$118:$R$118,0))=1,ROW($B$119:$B$131)-ROW($B$119)+1),3)),"")</f>
      </c>
      <c r="AD35" s="23">
        <f t="array" ref="AD35">IFERROR(INDEX($B$119:$B$131,SMALL(IF(INDEX($C$119:$R$131,0,MATCH($U$35,$C$118:$R$118,0))=1,ROW($B$119:$B$131)-ROW($B$119)+1),4)),"")</f>
      </c>
      <c r="AE35" s="23">
        <f t="array" ref="AE35">IFERROR(INDEX($B$119:$B$131,SMALL(IF(INDEX($C$119:$R$131,0,MATCH($U$35,$C$118:$R$118,0))=1,ROW($B$119:$B$131)-ROW($B$119)+1),5)),"")</f>
      </c>
      <c r="AF35" s="23">
        <f t="array" ref="AF35">IFERROR(INDEX($B$119:$B$131,SMALL(IF(INDEX($C$119:$R$131,0,MATCH($U$35,$C$118:$R$118,0))=1,ROW($B$119:$B$131)-ROW($B$119)+1),6)),"")</f>
      </c>
      <c r="AG35" s="23">
        <f t="array" ref="AG35">IFERROR(INDEX($B$119:$B$131,SMALL(IF(INDEX($C$119:$R$131,0,MATCH($U$35,$C$118:$R$118,0))=1,ROW($B$119:$B$131)-ROW($B$119)+1),7)),"")</f>
      </c>
      <c r="AH35" s="23">
        <f t="array" ref="AH35">IFERROR(INDEX($B$119:$B$131,SMALL(IF(INDEX($C$119:$R$131,0,MATCH($U$35,$C$118:$R$118,0))=1,ROW($B$119:$B$131)-ROW($B$119)+1),8)),"")</f>
      </c>
      <c r="AI35" s="23">
        <f t="array" ref="AI35">IFERROR(INDEX($B$119:$B$131,SMALL(IF(INDEX($C$119:$R$131,0,MATCH($U$35,$C$118:$R$118,0))=1,ROW($B$119:$B$131)-ROW($B$119)+1),9)),"")</f>
      </c>
      <c r="AJ35" s="23">
        <f t="array" ref="AJ35">IFERROR(INDEX($B$119:$B$131,SMALL(IF(INDEX($C$119:$R$131,0,MATCH($U$35,$C$118:$R$118,0))=1,ROW($B$119:$B$131)-ROW($B$119)+1),10)),"")</f>
      </c>
      <c r="AK35" s="23">
        <f t="array" ref="AK35">IFERROR(INDEX($B$119:$B$131,SMALL(IF(INDEX($C$119:$R$131,0,MATCH($U$35,$C$118:$R$118,0))=1,ROW($B$119:$B$131)-ROW($B$119)+1),11)),"")</f>
      </c>
      <c r="AL35" s="23">
        <f t="array" ref="AL35">IFERROR(INDEX($B$119:$B$131,SMALL(IF(INDEX($C$119:$R$131,0,MATCH($U$35,$C$118:$R$118,0))=1,ROW($B$119:$B$131)-ROW($B$119)+1),12)),"")</f>
      </c>
      <c r="AM35" s="23">
        <f t="array" ref="AM35">IFERROR(INDEX($B$119:$B$131,SMALL(IF(INDEX($C$119:$R$131,0,MATCH($U$35,$C$118:$R$118,0))=1,ROW($B$119:$B$131)-ROW($B$119)+1),13)),"")</f>
      </c>
    </row>
    <row r="36">
      <c r="A36" t="s" s="21">
        <v>128</v>
      </c>
      <c r="B36" t="s" s="21">
        <v>106</v>
      </c>
      <c r="C36" t="s" s="21">
        <v>123</v>
      </c>
      <c r="D36" t="s" s="20">
        <v>113</v>
      </c>
      <c r="E36" t="s" s="20">
        <v>109</v>
      </c>
      <c r="F36" t="s" s="20">
        <v>113</v>
      </c>
      <c r="G36" t="s" s="20">
        <v>120</v>
      </c>
      <c r="H36" t="s" s="20">
        <v>118</v>
      </c>
      <c r="I36" t="s" s="20">
        <v>110</v>
      </c>
      <c r="J36" t="s" s="20">
        <v>109</v>
      </c>
      <c r="K36" t="s" s="20">
        <v>109</v>
      </c>
      <c r="U36" s="23">
        <f>IF($A$36="","",$A$36&amp;"|"&amp;$B$36&amp;"|"&amp;$C$36)</f>
      </c>
      <c r="V36" s="23">
        <f>COUNTA($F$36:$K$36)</f>
      </c>
      <c r="W36" s="23">
        <f>IF($D$36="","OK",IFERROR(UPPER(INDIRECT("'Famille - "&amp;$D$36&amp;"'!"&amp;ADDRESS(10,(2+IF($A$36="Paire",0,1)*8+(MATCH($B$36,{"Lundi","Mardi","Jeudi","Vendredi"},0)-1)*2+IF($C$36="Matin",0,1))))),"OK"))</f>
      </c>
      <c r="X36" s="23">
        <f>IF($D$36="",0,IFERROR(INDIRECT("'Famille - "&amp;$D$36&amp;"'!"&amp;"$B$5"),0))</f>
      </c>
      <c r="Y36" s="23">
        <f>IF($V$36&gt;$X$36,$V$36-$X$36,0)</f>
      </c>
      <c r="Z36" s="23">
        <f>","&amp;_xlfn.TEXTJOIN(",",TRUE,$F$36:$K$36)&amp;","</f>
      </c>
      <c r="AA36" s="23">
        <f t="array" ref="AA36">IFERROR(INDEX($B$119:$B$131,SMALL(IF(INDEX($C$119:$R$131,0,MATCH($U$36,$C$118:$R$118,0))=1,ROW($B$119:$B$131)-ROW($B$119)+1),1)),"")</f>
      </c>
      <c r="AB36" s="23">
        <f t="array" ref="AB36">IFERROR(INDEX($B$119:$B$131,SMALL(IF(INDEX($C$119:$R$131,0,MATCH($U$36,$C$118:$R$118,0))=1,ROW($B$119:$B$131)-ROW($B$119)+1),2)),"")</f>
      </c>
      <c r="AC36" s="23">
        <f t="array" ref="AC36">IFERROR(INDEX($B$119:$B$131,SMALL(IF(INDEX($C$119:$R$131,0,MATCH($U$36,$C$118:$R$118,0))=1,ROW($B$119:$B$131)-ROW($B$119)+1),3)),"")</f>
      </c>
      <c r="AD36" s="23">
        <f t="array" ref="AD36">IFERROR(INDEX($B$119:$B$131,SMALL(IF(INDEX($C$119:$R$131,0,MATCH($U$36,$C$118:$R$118,0))=1,ROW($B$119:$B$131)-ROW($B$119)+1),4)),"")</f>
      </c>
      <c r="AE36" s="23">
        <f t="array" ref="AE36">IFERROR(INDEX($B$119:$B$131,SMALL(IF(INDEX($C$119:$R$131,0,MATCH($U$36,$C$118:$R$118,0))=1,ROW($B$119:$B$131)-ROW($B$119)+1),5)),"")</f>
      </c>
      <c r="AF36" s="23">
        <f t="array" ref="AF36">IFERROR(INDEX($B$119:$B$131,SMALL(IF(INDEX($C$119:$R$131,0,MATCH($U$36,$C$118:$R$118,0))=1,ROW($B$119:$B$131)-ROW($B$119)+1),6)),"")</f>
      </c>
      <c r="AG36" s="23">
        <f t="array" ref="AG36">IFERROR(INDEX($B$119:$B$131,SMALL(IF(INDEX($C$119:$R$131,0,MATCH($U$36,$C$118:$R$118,0))=1,ROW($B$119:$B$131)-ROW($B$119)+1),7)),"")</f>
      </c>
      <c r="AH36" s="23">
        <f t="array" ref="AH36">IFERROR(INDEX($B$119:$B$131,SMALL(IF(INDEX($C$119:$R$131,0,MATCH($U$36,$C$118:$R$118,0))=1,ROW($B$119:$B$131)-ROW($B$119)+1),8)),"")</f>
      </c>
      <c r="AI36" s="23">
        <f t="array" ref="AI36">IFERROR(INDEX($B$119:$B$131,SMALL(IF(INDEX($C$119:$R$131,0,MATCH($U$36,$C$118:$R$118,0))=1,ROW($B$119:$B$131)-ROW($B$119)+1),9)),"")</f>
      </c>
      <c r="AJ36" s="23">
        <f t="array" ref="AJ36">IFERROR(INDEX($B$119:$B$131,SMALL(IF(INDEX($C$119:$R$131,0,MATCH($U$36,$C$118:$R$118,0))=1,ROW($B$119:$B$131)-ROW($B$119)+1),10)),"")</f>
      </c>
      <c r="AK36" s="23">
        <f t="array" ref="AK36">IFERROR(INDEX($B$119:$B$131,SMALL(IF(INDEX($C$119:$R$131,0,MATCH($U$36,$C$118:$R$118,0))=1,ROW($B$119:$B$131)-ROW($B$119)+1),11)),"")</f>
      </c>
      <c r="AL36" s="23">
        <f t="array" ref="AL36">IFERROR(INDEX($B$119:$B$131,SMALL(IF(INDEX($C$119:$R$131,0,MATCH($U$36,$C$118:$R$118,0))=1,ROW($B$119:$B$131)-ROW($B$119)+1),12)),"")</f>
      </c>
      <c r="AM36" s="23">
        <f t="array" ref="AM36">IFERROR(INDEX($B$119:$B$131,SMALL(IF(INDEX($C$119:$R$131,0,MATCH($U$36,$C$118:$R$118,0))=1,ROW($B$119:$B$131)-ROW($B$119)+1),13)),"")</f>
      </c>
    </row>
    <row r="37">
      <c r="A37" t="s" s="21">
        <v>128</v>
      </c>
      <c r="B37" t="s" s="21">
        <v>106</v>
      </c>
      <c r="C37" t="s" s="21">
        <v>123</v>
      </c>
      <c r="D37" t="s" s="20">
        <v>112</v>
      </c>
      <c r="E37" t="s" s="20">
        <v>109</v>
      </c>
      <c r="F37" t="s" s="20">
        <v>112</v>
      </c>
      <c r="G37" t="s" s="20">
        <v>111</v>
      </c>
      <c r="H37" t="s" s="20">
        <v>121</v>
      </c>
      <c r="I37" t="s" s="20">
        <v>109</v>
      </c>
      <c r="J37" t="s" s="20">
        <v>109</v>
      </c>
      <c r="K37" t="s" s="20">
        <v>109</v>
      </c>
      <c r="U37" s="23">
        <f>IF($A$37="","",$A$37&amp;"|"&amp;$B$37&amp;"|"&amp;$C$37)</f>
      </c>
      <c r="V37" s="23">
        <f>COUNTA($F$37:$K$37)</f>
      </c>
      <c r="W37" s="23">
        <f>IF($D$37="","OK",IFERROR(UPPER(INDIRECT("'Famille - "&amp;$D$37&amp;"'!"&amp;ADDRESS(10,(2+IF($A$37="Paire",0,1)*8+(MATCH($B$37,{"Lundi","Mardi","Jeudi","Vendredi"},0)-1)*2+IF($C$37="Matin",0,1))))),"OK"))</f>
      </c>
      <c r="X37" s="23">
        <f>IF($D$37="",0,IFERROR(INDIRECT("'Famille - "&amp;$D$37&amp;"'!"&amp;"$B$5"),0))</f>
      </c>
      <c r="Y37" s="23">
        <f>IF($V$37&gt;$X$37,$V$37-$X$37,0)</f>
      </c>
      <c r="Z37" s="23">
        <f>","&amp;_xlfn.TEXTJOIN(",",TRUE,$F$37:$K$37)&amp;","</f>
      </c>
      <c r="AA37" s="23">
        <f t="array" ref="AA37">IFERROR(INDEX($B$119:$B$131,SMALL(IF(INDEX($C$119:$R$131,0,MATCH($U$37,$C$118:$R$118,0))=1,ROW($B$119:$B$131)-ROW($B$119)+1),1)),"")</f>
      </c>
      <c r="AB37" s="23">
        <f t="array" ref="AB37">IFERROR(INDEX($B$119:$B$131,SMALL(IF(INDEX($C$119:$R$131,0,MATCH($U$37,$C$118:$R$118,0))=1,ROW($B$119:$B$131)-ROW($B$119)+1),2)),"")</f>
      </c>
      <c r="AC37" s="23">
        <f t="array" ref="AC37">IFERROR(INDEX($B$119:$B$131,SMALL(IF(INDEX($C$119:$R$131,0,MATCH($U$37,$C$118:$R$118,0))=1,ROW($B$119:$B$131)-ROW($B$119)+1),3)),"")</f>
      </c>
      <c r="AD37" s="23">
        <f t="array" ref="AD37">IFERROR(INDEX($B$119:$B$131,SMALL(IF(INDEX($C$119:$R$131,0,MATCH($U$37,$C$118:$R$118,0))=1,ROW($B$119:$B$131)-ROW($B$119)+1),4)),"")</f>
      </c>
      <c r="AE37" s="23">
        <f t="array" ref="AE37">IFERROR(INDEX($B$119:$B$131,SMALL(IF(INDEX($C$119:$R$131,0,MATCH($U$37,$C$118:$R$118,0))=1,ROW($B$119:$B$131)-ROW($B$119)+1),5)),"")</f>
      </c>
      <c r="AF37" s="23">
        <f t="array" ref="AF37">IFERROR(INDEX($B$119:$B$131,SMALL(IF(INDEX($C$119:$R$131,0,MATCH($U$37,$C$118:$R$118,0))=1,ROW($B$119:$B$131)-ROW($B$119)+1),6)),"")</f>
      </c>
      <c r="AG37" s="23">
        <f t="array" ref="AG37">IFERROR(INDEX($B$119:$B$131,SMALL(IF(INDEX($C$119:$R$131,0,MATCH($U$37,$C$118:$R$118,0))=1,ROW($B$119:$B$131)-ROW($B$119)+1),7)),"")</f>
      </c>
      <c r="AH37" s="23">
        <f t="array" ref="AH37">IFERROR(INDEX($B$119:$B$131,SMALL(IF(INDEX($C$119:$R$131,0,MATCH($U$37,$C$118:$R$118,0))=1,ROW($B$119:$B$131)-ROW($B$119)+1),8)),"")</f>
      </c>
      <c r="AI37" s="23">
        <f t="array" ref="AI37">IFERROR(INDEX($B$119:$B$131,SMALL(IF(INDEX($C$119:$R$131,0,MATCH($U$37,$C$118:$R$118,0))=1,ROW($B$119:$B$131)-ROW($B$119)+1),9)),"")</f>
      </c>
      <c r="AJ37" s="23">
        <f t="array" ref="AJ37">IFERROR(INDEX($B$119:$B$131,SMALL(IF(INDEX($C$119:$R$131,0,MATCH($U$37,$C$118:$R$118,0))=1,ROW($B$119:$B$131)-ROW($B$119)+1),10)),"")</f>
      </c>
      <c r="AK37" s="23">
        <f t="array" ref="AK37">IFERROR(INDEX($B$119:$B$131,SMALL(IF(INDEX($C$119:$R$131,0,MATCH($U$37,$C$118:$R$118,0))=1,ROW($B$119:$B$131)-ROW($B$119)+1),11)),"")</f>
      </c>
      <c r="AL37" s="23">
        <f t="array" ref="AL37">IFERROR(INDEX($B$119:$B$131,SMALL(IF(INDEX($C$119:$R$131,0,MATCH($U$37,$C$118:$R$118,0))=1,ROW($B$119:$B$131)-ROW($B$119)+1),12)),"")</f>
      </c>
      <c r="AM37" s="23">
        <f t="array" ref="AM37">IFERROR(INDEX($B$119:$B$131,SMALL(IF(INDEX($C$119:$R$131,0,MATCH($U$37,$C$118:$R$118,0))=1,ROW($B$119:$B$131)-ROW($B$119)+1),13)),"")</f>
      </c>
    </row>
    <row r="38">
      <c r="A38" t="s" s="21">
        <v>128</v>
      </c>
      <c r="B38" t="s" s="21">
        <v>106</v>
      </c>
      <c r="C38" t="s" s="21">
        <v>123</v>
      </c>
      <c r="D38" t="s" s="20">
        <v>119</v>
      </c>
      <c r="E38" t="s" s="20">
        <v>109</v>
      </c>
      <c r="F38" t="s" s="20">
        <v>119</v>
      </c>
      <c r="G38" t="s" s="20">
        <v>122</v>
      </c>
      <c r="H38" t="s" s="20">
        <v>116</v>
      </c>
      <c r="I38" t="s" s="20">
        <v>117</v>
      </c>
      <c r="J38" t="s" s="20">
        <v>109</v>
      </c>
      <c r="K38" t="s" s="20">
        <v>109</v>
      </c>
      <c r="U38" s="23">
        <f>IF($A$38="","",$A$38&amp;"|"&amp;$B$38&amp;"|"&amp;$C$38)</f>
      </c>
      <c r="V38" s="23">
        <f>COUNTA($F$38:$K$38)</f>
      </c>
      <c r="W38" s="23">
        <f>IF($D$38="","OK",IFERROR(UPPER(INDIRECT("'Famille - "&amp;$D$38&amp;"'!"&amp;ADDRESS(10,(2+IF($A$38="Paire",0,1)*8+(MATCH($B$38,{"Lundi","Mardi","Jeudi","Vendredi"},0)-1)*2+IF($C$38="Matin",0,1))))),"OK"))</f>
      </c>
      <c r="X38" s="23">
        <f>IF($D$38="",0,IFERROR(INDIRECT("'Famille - "&amp;$D$38&amp;"'!"&amp;"$B$5"),0))</f>
      </c>
      <c r="Y38" s="23">
        <f>IF($V$38&gt;$X$38,$V$38-$X$38,0)</f>
      </c>
      <c r="Z38" s="23">
        <f>","&amp;_xlfn.TEXTJOIN(",",TRUE,$F$38:$K$38)&amp;","</f>
      </c>
      <c r="AA38" s="23">
        <f t="array" ref="AA38">IFERROR(INDEX($B$119:$B$131,SMALL(IF(INDEX($C$119:$R$131,0,MATCH($U$38,$C$118:$R$118,0))=1,ROW($B$119:$B$131)-ROW($B$119)+1),1)),"")</f>
      </c>
      <c r="AB38" s="23">
        <f t="array" ref="AB38">IFERROR(INDEX($B$119:$B$131,SMALL(IF(INDEX($C$119:$R$131,0,MATCH($U$38,$C$118:$R$118,0))=1,ROW($B$119:$B$131)-ROW($B$119)+1),2)),"")</f>
      </c>
      <c r="AC38" s="23">
        <f t="array" ref="AC38">IFERROR(INDEX($B$119:$B$131,SMALL(IF(INDEX($C$119:$R$131,0,MATCH($U$38,$C$118:$R$118,0))=1,ROW($B$119:$B$131)-ROW($B$119)+1),3)),"")</f>
      </c>
      <c r="AD38" s="23">
        <f t="array" ref="AD38">IFERROR(INDEX($B$119:$B$131,SMALL(IF(INDEX($C$119:$R$131,0,MATCH($U$38,$C$118:$R$118,0))=1,ROW($B$119:$B$131)-ROW($B$119)+1),4)),"")</f>
      </c>
      <c r="AE38" s="23">
        <f t="array" ref="AE38">IFERROR(INDEX($B$119:$B$131,SMALL(IF(INDEX($C$119:$R$131,0,MATCH($U$38,$C$118:$R$118,0))=1,ROW($B$119:$B$131)-ROW($B$119)+1),5)),"")</f>
      </c>
      <c r="AF38" s="23">
        <f t="array" ref="AF38">IFERROR(INDEX($B$119:$B$131,SMALL(IF(INDEX($C$119:$R$131,0,MATCH($U$38,$C$118:$R$118,0))=1,ROW($B$119:$B$131)-ROW($B$119)+1),6)),"")</f>
      </c>
      <c r="AG38" s="23">
        <f t="array" ref="AG38">IFERROR(INDEX($B$119:$B$131,SMALL(IF(INDEX($C$119:$R$131,0,MATCH($U$38,$C$118:$R$118,0))=1,ROW($B$119:$B$131)-ROW($B$119)+1),7)),"")</f>
      </c>
      <c r="AH38" s="23">
        <f t="array" ref="AH38">IFERROR(INDEX($B$119:$B$131,SMALL(IF(INDEX($C$119:$R$131,0,MATCH($U$38,$C$118:$R$118,0))=1,ROW($B$119:$B$131)-ROW($B$119)+1),8)),"")</f>
      </c>
      <c r="AI38" s="23">
        <f t="array" ref="AI38">IFERROR(INDEX($B$119:$B$131,SMALL(IF(INDEX($C$119:$R$131,0,MATCH($U$38,$C$118:$R$118,0))=1,ROW($B$119:$B$131)-ROW($B$119)+1),9)),"")</f>
      </c>
      <c r="AJ38" s="23">
        <f t="array" ref="AJ38">IFERROR(INDEX($B$119:$B$131,SMALL(IF(INDEX($C$119:$R$131,0,MATCH($U$38,$C$118:$R$118,0))=1,ROW($B$119:$B$131)-ROW($B$119)+1),10)),"")</f>
      </c>
      <c r="AK38" s="23">
        <f t="array" ref="AK38">IFERROR(INDEX($B$119:$B$131,SMALL(IF(INDEX($C$119:$R$131,0,MATCH($U$38,$C$118:$R$118,0))=1,ROW($B$119:$B$131)-ROW($B$119)+1),11)),"")</f>
      </c>
      <c r="AL38" s="23">
        <f t="array" ref="AL38">IFERROR(INDEX($B$119:$B$131,SMALL(IF(INDEX($C$119:$R$131,0,MATCH($U$38,$C$118:$R$118,0))=1,ROW($B$119:$B$131)-ROW($B$119)+1),12)),"")</f>
      </c>
      <c r="AM38" s="23">
        <f t="array" ref="AM38">IFERROR(INDEX($B$119:$B$131,SMALL(IF(INDEX($C$119:$R$131,0,MATCH($U$38,$C$118:$R$118,0))=1,ROW($B$119:$B$131)-ROW($B$119)+1),13)),"")</f>
      </c>
    </row>
    <row r="39">
      <c r="A39" t="s" s="21">
        <v>128</v>
      </c>
      <c r="B39" t="s" s="21">
        <v>124</v>
      </c>
      <c r="C39" t="s" s="21">
        <v>107</v>
      </c>
      <c r="D39" t="s" s="20">
        <v>115</v>
      </c>
      <c r="E39" t="s" s="20">
        <v>109</v>
      </c>
      <c r="F39" t="s" s="20">
        <v>116</v>
      </c>
      <c r="G39" t="s" s="20">
        <v>117</v>
      </c>
      <c r="H39" t="s" s="20">
        <v>112</v>
      </c>
      <c r="I39" t="s" s="20">
        <v>109</v>
      </c>
      <c r="J39" t="s" s="20">
        <v>109</v>
      </c>
      <c r="K39" t="s" s="20">
        <v>109</v>
      </c>
      <c r="U39" s="23">
        <f>IF($A$39="","",$A$39&amp;"|"&amp;$B$39&amp;"|"&amp;$C$39)</f>
      </c>
      <c r="V39" s="23">
        <f>COUNTA($F$39:$K$39)</f>
      </c>
      <c r="W39" s="23">
        <f>IF($D$39="","OK",IFERROR(UPPER(INDIRECT("'Famille - "&amp;$D$39&amp;"'!"&amp;ADDRESS(10,(2+IF($A$39="Paire",0,1)*8+(MATCH($B$39,{"Lundi","Mardi","Jeudi","Vendredi"},0)-1)*2+IF($C$39="Matin",0,1))))),"OK"))</f>
      </c>
      <c r="X39" s="23">
        <f>IF($D$39="",0,IFERROR(INDIRECT("'Famille - "&amp;$D$39&amp;"'!"&amp;"$B$5"),0))</f>
      </c>
      <c r="Y39" s="23">
        <f>IF($V$39&gt;$X$39,$V$39-$X$39,0)</f>
      </c>
      <c r="Z39" s="23">
        <f>","&amp;_xlfn.TEXTJOIN(",",TRUE,$F$39:$K$39)&amp;","</f>
      </c>
      <c r="AA39" s="23">
        <f t="array" ref="AA39">IFERROR(INDEX($B$119:$B$131,SMALL(IF(INDEX($C$119:$R$131,0,MATCH($U$39,$C$118:$R$118,0))=1,ROW($B$119:$B$131)-ROW($B$119)+1),1)),"")</f>
      </c>
      <c r="AB39" s="23">
        <f t="array" ref="AB39">IFERROR(INDEX($B$119:$B$131,SMALL(IF(INDEX($C$119:$R$131,0,MATCH($U$39,$C$118:$R$118,0))=1,ROW($B$119:$B$131)-ROW($B$119)+1),2)),"")</f>
      </c>
      <c r="AC39" s="23">
        <f t="array" ref="AC39">IFERROR(INDEX($B$119:$B$131,SMALL(IF(INDEX($C$119:$R$131,0,MATCH($U$39,$C$118:$R$118,0))=1,ROW($B$119:$B$131)-ROW($B$119)+1),3)),"")</f>
      </c>
      <c r="AD39" s="23">
        <f t="array" ref="AD39">IFERROR(INDEX($B$119:$B$131,SMALL(IF(INDEX($C$119:$R$131,0,MATCH($U$39,$C$118:$R$118,0))=1,ROW($B$119:$B$131)-ROW($B$119)+1),4)),"")</f>
      </c>
      <c r="AE39" s="23">
        <f t="array" ref="AE39">IFERROR(INDEX($B$119:$B$131,SMALL(IF(INDEX($C$119:$R$131,0,MATCH($U$39,$C$118:$R$118,0))=1,ROW($B$119:$B$131)-ROW($B$119)+1),5)),"")</f>
      </c>
      <c r="AF39" s="23">
        <f t="array" ref="AF39">IFERROR(INDEX($B$119:$B$131,SMALL(IF(INDEX($C$119:$R$131,0,MATCH($U$39,$C$118:$R$118,0))=1,ROW($B$119:$B$131)-ROW($B$119)+1),6)),"")</f>
      </c>
      <c r="AG39" s="23">
        <f t="array" ref="AG39">IFERROR(INDEX($B$119:$B$131,SMALL(IF(INDEX($C$119:$R$131,0,MATCH($U$39,$C$118:$R$118,0))=1,ROW($B$119:$B$131)-ROW($B$119)+1),7)),"")</f>
      </c>
      <c r="AH39" s="23">
        <f t="array" ref="AH39">IFERROR(INDEX($B$119:$B$131,SMALL(IF(INDEX($C$119:$R$131,0,MATCH($U$39,$C$118:$R$118,0))=1,ROW($B$119:$B$131)-ROW($B$119)+1),8)),"")</f>
      </c>
      <c r="AI39" s="23">
        <f t="array" ref="AI39">IFERROR(INDEX($B$119:$B$131,SMALL(IF(INDEX($C$119:$R$131,0,MATCH($U$39,$C$118:$R$118,0))=1,ROW($B$119:$B$131)-ROW($B$119)+1),9)),"")</f>
      </c>
      <c r="AJ39" s="23">
        <f t="array" ref="AJ39">IFERROR(INDEX($B$119:$B$131,SMALL(IF(INDEX($C$119:$R$131,0,MATCH($U$39,$C$118:$R$118,0))=1,ROW($B$119:$B$131)-ROW($B$119)+1),10)),"")</f>
      </c>
      <c r="AK39" s="23">
        <f t="array" ref="AK39">IFERROR(INDEX($B$119:$B$131,SMALL(IF(INDEX($C$119:$R$131,0,MATCH($U$39,$C$118:$R$118,0))=1,ROW($B$119:$B$131)-ROW($B$119)+1),11)),"")</f>
      </c>
      <c r="AL39" s="23">
        <f t="array" ref="AL39">IFERROR(INDEX($B$119:$B$131,SMALL(IF(INDEX($C$119:$R$131,0,MATCH($U$39,$C$118:$R$118,0))=1,ROW($B$119:$B$131)-ROW($B$119)+1),12)),"")</f>
      </c>
      <c r="AM39" s="23">
        <f t="array" ref="AM39">IFERROR(INDEX($B$119:$B$131,SMALL(IF(INDEX($C$119:$R$131,0,MATCH($U$39,$C$118:$R$118,0))=1,ROW($B$119:$B$131)-ROW($B$119)+1),13)),"")</f>
      </c>
    </row>
    <row r="40">
      <c r="A40" t="s" s="21">
        <v>128</v>
      </c>
      <c r="B40" t="s" s="21">
        <v>124</v>
      </c>
      <c r="C40" t="s" s="21">
        <v>107</v>
      </c>
      <c r="D40" t="s" s="20">
        <v>125</v>
      </c>
      <c r="E40" t="s" s="20">
        <v>109</v>
      </c>
      <c r="F40" t="s" s="20">
        <v>125</v>
      </c>
      <c r="G40" t="s" s="20">
        <v>113</v>
      </c>
      <c r="H40" t="s" s="20">
        <v>114</v>
      </c>
      <c r="I40" t="s" s="20">
        <v>120</v>
      </c>
      <c r="J40" t="s" s="20">
        <v>109</v>
      </c>
      <c r="K40" t="s" s="20">
        <v>109</v>
      </c>
      <c r="U40" s="23">
        <f>IF($A$40="","",$A$40&amp;"|"&amp;$B$40&amp;"|"&amp;$C$40)</f>
      </c>
      <c r="V40" s="23">
        <f>COUNTA($F$40:$K$40)</f>
      </c>
      <c r="W40" s="23">
        <f>IF($D$40="","OK",IFERROR(UPPER(INDIRECT("'Famille - "&amp;$D$40&amp;"'!"&amp;ADDRESS(10,(2+IF($A$40="Paire",0,1)*8+(MATCH($B$40,{"Lundi","Mardi","Jeudi","Vendredi"},0)-1)*2+IF($C$40="Matin",0,1))))),"OK"))</f>
      </c>
      <c r="X40" s="23">
        <f>IF($D$40="",0,IFERROR(INDIRECT("'Famille - "&amp;$D$40&amp;"'!"&amp;"$B$5"),0))</f>
      </c>
      <c r="Y40" s="23">
        <f>IF($V$40&gt;$X$40,$V$40-$X$40,0)</f>
      </c>
      <c r="Z40" s="23">
        <f>","&amp;_xlfn.TEXTJOIN(",",TRUE,$F$40:$K$40)&amp;","</f>
      </c>
      <c r="AA40" s="23">
        <f t="array" ref="AA40">IFERROR(INDEX($B$119:$B$131,SMALL(IF(INDEX($C$119:$R$131,0,MATCH($U$40,$C$118:$R$118,0))=1,ROW($B$119:$B$131)-ROW($B$119)+1),1)),"")</f>
      </c>
      <c r="AB40" s="23">
        <f t="array" ref="AB40">IFERROR(INDEX($B$119:$B$131,SMALL(IF(INDEX($C$119:$R$131,0,MATCH($U$40,$C$118:$R$118,0))=1,ROW($B$119:$B$131)-ROW($B$119)+1),2)),"")</f>
      </c>
      <c r="AC40" s="23">
        <f t="array" ref="AC40">IFERROR(INDEX($B$119:$B$131,SMALL(IF(INDEX($C$119:$R$131,0,MATCH($U$40,$C$118:$R$118,0))=1,ROW($B$119:$B$131)-ROW($B$119)+1),3)),"")</f>
      </c>
      <c r="AD40" s="23">
        <f t="array" ref="AD40">IFERROR(INDEX($B$119:$B$131,SMALL(IF(INDEX($C$119:$R$131,0,MATCH($U$40,$C$118:$R$118,0))=1,ROW($B$119:$B$131)-ROW($B$119)+1),4)),"")</f>
      </c>
      <c r="AE40" s="23">
        <f t="array" ref="AE40">IFERROR(INDEX($B$119:$B$131,SMALL(IF(INDEX($C$119:$R$131,0,MATCH($U$40,$C$118:$R$118,0))=1,ROW($B$119:$B$131)-ROW($B$119)+1),5)),"")</f>
      </c>
      <c r="AF40" s="23">
        <f t="array" ref="AF40">IFERROR(INDEX($B$119:$B$131,SMALL(IF(INDEX($C$119:$R$131,0,MATCH($U$40,$C$118:$R$118,0))=1,ROW($B$119:$B$131)-ROW($B$119)+1),6)),"")</f>
      </c>
      <c r="AG40" s="23">
        <f t="array" ref="AG40">IFERROR(INDEX($B$119:$B$131,SMALL(IF(INDEX($C$119:$R$131,0,MATCH($U$40,$C$118:$R$118,0))=1,ROW($B$119:$B$131)-ROW($B$119)+1),7)),"")</f>
      </c>
      <c r="AH40" s="23">
        <f t="array" ref="AH40">IFERROR(INDEX($B$119:$B$131,SMALL(IF(INDEX($C$119:$R$131,0,MATCH($U$40,$C$118:$R$118,0))=1,ROW($B$119:$B$131)-ROW($B$119)+1),8)),"")</f>
      </c>
      <c r="AI40" s="23">
        <f t="array" ref="AI40">IFERROR(INDEX($B$119:$B$131,SMALL(IF(INDEX($C$119:$R$131,0,MATCH($U$40,$C$118:$R$118,0))=1,ROW($B$119:$B$131)-ROW($B$119)+1),9)),"")</f>
      </c>
      <c r="AJ40" s="23">
        <f t="array" ref="AJ40">IFERROR(INDEX($B$119:$B$131,SMALL(IF(INDEX($C$119:$R$131,0,MATCH($U$40,$C$118:$R$118,0))=1,ROW($B$119:$B$131)-ROW($B$119)+1),10)),"")</f>
      </c>
      <c r="AK40" s="23">
        <f t="array" ref="AK40">IFERROR(INDEX($B$119:$B$131,SMALL(IF(INDEX($C$119:$R$131,0,MATCH($U$40,$C$118:$R$118,0))=1,ROW($B$119:$B$131)-ROW($B$119)+1),11)),"")</f>
      </c>
      <c r="AL40" s="23">
        <f t="array" ref="AL40">IFERROR(INDEX($B$119:$B$131,SMALL(IF(INDEX($C$119:$R$131,0,MATCH($U$40,$C$118:$R$118,0))=1,ROW($B$119:$B$131)-ROW($B$119)+1),12)),"")</f>
      </c>
      <c r="AM40" s="23">
        <f t="array" ref="AM40">IFERROR(INDEX($B$119:$B$131,SMALL(IF(INDEX($C$119:$R$131,0,MATCH($U$40,$C$118:$R$118,0))=1,ROW($B$119:$B$131)-ROW($B$119)+1),13)),"")</f>
      </c>
    </row>
    <row r="41">
      <c r="A41" t="s" s="21">
        <v>128</v>
      </c>
      <c r="B41" t="s" s="21">
        <v>124</v>
      </c>
      <c r="C41" t="s" s="21">
        <v>107</v>
      </c>
      <c r="D41" t="s" s="20">
        <v>108</v>
      </c>
      <c r="E41" t="s" s="20">
        <v>109</v>
      </c>
      <c r="F41" t="s" s="20">
        <v>110</v>
      </c>
      <c r="G41" t="s" s="20">
        <v>111</v>
      </c>
      <c r="H41" t="s" s="20">
        <v>118</v>
      </c>
      <c r="I41" t="s" s="20">
        <v>119</v>
      </c>
      <c r="J41" t="s" s="20">
        <v>121</v>
      </c>
      <c r="K41" t="s" s="20">
        <v>122</v>
      </c>
      <c r="U41" s="23">
        <f>IF($A$41="","",$A$41&amp;"|"&amp;$B$41&amp;"|"&amp;$C$41)</f>
      </c>
      <c r="V41" s="23">
        <f>COUNTA($F$41:$K$41)</f>
      </c>
      <c r="W41" s="23">
        <f>IF($D$41="","OK",IFERROR(UPPER(INDIRECT("'Famille - "&amp;$D$41&amp;"'!"&amp;ADDRESS(10,(2+IF($A$41="Paire",0,1)*8+(MATCH($B$41,{"Lundi","Mardi","Jeudi","Vendredi"},0)-1)*2+IF($C$41="Matin",0,1))))),"OK"))</f>
      </c>
      <c r="X41" s="23">
        <f>IF($D$41="",0,IFERROR(INDIRECT("'Famille - "&amp;$D$41&amp;"'!"&amp;"$B$5"),0))</f>
      </c>
      <c r="Y41" s="23">
        <f>IF($V$41&gt;$X$41,$V$41-$X$41,0)</f>
      </c>
      <c r="Z41" s="23">
        <f>","&amp;_xlfn.TEXTJOIN(",",TRUE,$F$41:$K$41)&amp;","</f>
      </c>
      <c r="AA41" s="23">
        <f t="array" ref="AA41">IFERROR(INDEX($B$119:$B$131,SMALL(IF(INDEX($C$119:$R$131,0,MATCH($U$41,$C$118:$R$118,0))=1,ROW($B$119:$B$131)-ROW($B$119)+1),1)),"")</f>
      </c>
      <c r="AB41" s="23">
        <f t="array" ref="AB41">IFERROR(INDEX($B$119:$B$131,SMALL(IF(INDEX($C$119:$R$131,0,MATCH($U$41,$C$118:$R$118,0))=1,ROW($B$119:$B$131)-ROW($B$119)+1),2)),"")</f>
      </c>
      <c r="AC41" s="23">
        <f t="array" ref="AC41">IFERROR(INDEX($B$119:$B$131,SMALL(IF(INDEX($C$119:$R$131,0,MATCH($U$41,$C$118:$R$118,0))=1,ROW($B$119:$B$131)-ROW($B$119)+1),3)),"")</f>
      </c>
      <c r="AD41" s="23">
        <f t="array" ref="AD41">IFERROR(INDEX($B$119:$B$131,SMALL(IF(INDEX($C$119:$R$131,0,MATCH($U$41,$C$118:$R$118,0))=1,ROW($B$119:$B$131)-ROW($B$119)+1),4)),"")</f>
      </c>
      <c r="AE41" s="23">
        <f t="array" ref="AE41">IFERROR(INDEX($B$119:$B$131,SMALL(IF(INDEX($C$119:$R$131,0,MATCH($U$41,$C$118:$R$118,0))=1,ROW($B$119:$B$131)-ROW($B$119)+1),5)),"")</f>
      </c>
      <c r="AF41" s="23">
        <f t="array" ref="AF41">IFERROR(INDEX($B$119:$B$131,SMALL(IF(INDEX($C$119:$R$131,0,MATCH($U$41,$C$118:$R$118,0))=1,ROW($B$119:$B$131)-ROW($B$119)+1),6)),"")</f>
      </c>
      <c r="AG41" s="23">
        <f t="array" ref="AG41">IFERROR(INDEX($B$119:$B$131,SMALL(IF(INDEX($C$119:$R$131,0,MATCH($U$41,$C$118:$R$118,0))=1,ROW($B$119:$B$131)-ROW($B$119)+1),7)),"")</f>
      </c>
      <c r="AH41" s="23">
        <f t="array" ref="AH41">IFERROR(INDEX($B$119:$B$131,SMALL(IF(INDEX($C$119:$R$131,0,MATCH($U$41,$C$118:$R$118,0))=1,ROW($B$119:$B$131)-ROW($B$119)+1),8)),"")</f>
      </c>
      <c r="AI41" s="23">
        <f t="array" ref="AI41">IFERROR(INDEX($B$119:$B$131,SMALL(IF(INDEX($C$119:$R$131,0,MATCH($U$41,$C$118:$R$118,0))=1,ROW($B$119:$B$131)-ROW($B$119)+1),9)),"")</f>
      </c>
      <c r="AJ41" s="23">
        <f t="array" ref="AJ41">IFERROR(INDEX($B$119:$B$131,SMALL(IF(INDEX($C$119:$R$131,0,MATCH($U$41,$C$118:$R$118,0))=1,ROW($B$119:$B$131)-ROW($B$119)+1),10)),"")</f>
      </c>
      <c r="AK41" s="23">
        <f t="array" ref="AK41">IFERROR(INDEX($B$119:$B$131,SMALL(IF(INDEX($C$119:$R$131,0,MATCH($U$41,$C$118:$R$118,0))=1,ROW($B$119:$B$131)-ROW($B$119)+1),11)),"")</f>
      </c>
      <c r="AL41" s="23">
        <f t="array" ref="AL41">IFERROR(INDEX($B$119:$B$131,SMALL(IF(INDEX($C$119:$R$131,0,MATCH($U$41,$C$118:$R$118,0))=1,ROW($B$119:$B$131)-ROW($B$119)+1),12)),"")</f>
      </c>
      <c r="AM41" s="23">
        <f t="array" ref="AM41">IFERROR(INDEX($B$119:$B$131,SMALL(IF(INDEX($C$119:$R$131,0,MATCH($U$41,$C$118:$R$118,0))=1,ROW($B$119:$B$131)-ROW($B$119)+1),13)),"")</f>
      </c>
    </row>
    <row r="42">
      <c r="A42" t="s" s="21">
        <v>128</v>
      </c>
      <c r="B42" t="s" s="21">
        <v>124</v>
      </c>
      <c r="C42" t="s" s="21">
        <v>123</v>
      </c>
      <c r="D42" t="s" s="20">
        <v>114</v>
      </c>
      <c r="E42" t="s" s="20">
        <v>109</v>
      </c>
      <c r="F42" t="s" s="20">
        <v>114</v>
      </c>
      <c r="G42" t="s" s="20">
        <v>112</v>
      </c>
      <c r="H42" t="s" s="20">
        <v>120</v>
      </c>
      <c r="I42" t="s" s="20">
        <v>109</v>
      </c>
      <c r="J42" t="s" s="20">
        <v>109</v>
      </c>
      <c r="K42" t="s" s="20">
        <v>109</v>
      </c>
      <c r="U42" s="23">
        <f>IF($A$42="","",$A$42&amp;"|"&amp;$B$42&amp;"|"&amp;$C$42)</f>
      </c>
      <c r="V42" s="23">
        <f>COUNTA($F$42:$K$42)</f>
      </c>
      <c r="W42" s="23">
        <f>IF($D$42="","OK",IFERROR(UPPER(INDIRECT("'Famille - "&amp;$D$42&amp;"'!"&amp;ADDRESS(10,(2+IF($A$42="Paire",0,1)*8+(MATCH($B$42,{"Lundi","Mardi","Jeudi","Vendredi"},0)-1)*2+IF($C$42="Matin",0,1))))),"OK"))</f>
      </c>
      <c r="X42" s="23">
        <f>IF($D$42="",0,IFERROR(INDIRECT("'Famille - "&amp;$D$42&amp;"'!"&amp;"$B$5"),0))</f>
      </c>
      <c r="Y42" s="23">
        <f>IF($V$42&gt;$X$42,$V$42-$X$42,0)</f>
      </c>
      <c r="Z42" s="23">
        <f>","&amp;_xlfn.TEXTJOIN(",",TRUE,$F$42:$K$42)&amp;","</f>
      </c>
      <c r="AA42" s="23">
        <f t="array" ref="AA42">IFERROR(INDEX($B$119:$B$131,SMALL(IF(INDEX($C$119:$R$131,0,MATCH($U$42,$C$118:$R$118,0))=1,ROW($B$119:$B$131)-ROW($B$119)+1),1)),"")</f>
      </c>
      <c r="AB42" s="23">
        <f t="array" ref="AB42">IFERROR(INDEX($B$119:$B$131,SMALL(IF(INDEX($C$119:$R$131,0,MATCH($U$42,$C$118:$R$118,0))=1,ROW($B$119:$B$131)-ROW($B$119)+1),2)),"")</f>
      </c>
      <c r="AC42" s="23">
        <f t="array" ref="AC42">IFERROR(INDEX($B$119:$B$131,SMALL(IF(INDEX($C$119:$R$131,0,MATCH($U$42,$C$118:$R$118,0))=1,ROW($B$119:$B$131)-ROW($B$119)+1),3)),"")</f>
      </c>
      <c r="AD42" s="23">
        <f t="array" ref="AD42">IFERROR(INDEX($B$119:$B$131,SMALL(IF(INDEX($C$119:$R$131,0,MATCH($U$42,$C$118:$R$118,0))=1,ROW($B$119:$B$131)-ROW($B$119)+1),4)),"")</f>
      </c>
      <c r="AE42" s="23">
        <f t="array" ref="AE42">IFERROR(INDEX($B$119:$B$131,SMALL(IF(INDEX($C$119:$R$131,0,MATCH($U$42,$C$118:$R$118,0))=1,ROW($B$119:$B$131)-ROW($B$119)+1),5)),"")</f>
      </c>
      <c r="AF42" s="23">
        <f t="array" ref="AF42">IFERROR(INDEX($B$119:$B$131,SMALL(IF(INDEX($C$119:$R$131,0,MATCH($U$42,$C$118:$R$118,0))=1,ROW($B$119:$B$131)-ROW($B$119)+1),6)),"")</f>
      </c>
      <c r="AG42" s="23">
        <f t="array" ref="AG42">IFERROR(INDEX($B$119:$B$131,SMALL(IF(INDEX($C$119:$R$131,0,MATCH($U$42,$C$118:$R$118,0))=1,ROW($B$119:$B$131)-ROW($B$119)+1),7)),"")</f>
      </c>
      <c r="AH42" s="23">
        <f t="array" ref="AH42">IFERROR(INDEX($B$119:$B$131,SMALL(IF(INDEX($C$119:$R$131,0,MATCH($U$42,$C$118:$R$118,0))=1,ROW($B$119:$B$131)-ROW($B$119)+1),8)),"")</f>
      </c>
      <c r="AI42" s="23">
        <f t="array" ref="AI42">IFERROR(INDEX($B$119:$B$131,SMALL(IF(INDEX($C$119:$R$131,0,MATCH($U$42,$C$118:$R$118,0))=1,ROW($B$119:$B$131)-ROW($B$119)+1),9)),"")</f>
      </c>
      <c r="AJ42" s="23">
        <f t="array" ref="AJ42">IFERROR(INDEX($B$119:$B$131,SMALL(IF(INDEX($C$119:$R$131,0,MATCH($U$42,$C$118:$R$118,0))=1,ROW($B$119:$B$131)-ROW($B$119)+1),10)),"")</f>
      </c>
      <c r="AK42" s="23">
        <f t="array" ref="AK42">IFERROR(INDEX($B$119:$B$131,SMALL(IF(INDEX($C$119:$R$131,0,MATCH($U$42,$C$118:$R$118,0))=1,ROW($B$119:$B$131)-ROW($B$119)+1),11)),"")</f>
      </c>
      <c r="AL42" s="23">
        <f t="array" ref="AL42">IFERROR(INDEX($B$119:$B$131,SMALL(IF(INDEX($C$119:$R$131,0,MATCH($U$42,$C$118:$R$118,0))=1,ROW($B$119:$B$131)-ROW($B$119)+1),12)),"")</f>
      </c>
      <c r="AM42" s="23">
        <f t="array" ref="AM42">IFERROR(INDEX($B$119:$B$131,SMALL(IF(INDEX($C$119:$R$131,0,MATCH($U$42,$C$118:$R$118,0))=1,ROW($B$119:$B$131)-ROW($B$119)+1),13)),"")</f>
      </c>
    </row>
    <row r="43">
      <c r="A43" t="s" s="21">
        <v>128</v>
      </c>
      <c r="B43" t="s" s="21">
        <v>124</v>
      </c>
      <c r="C43" t="s" s="21">
        <v>123</v>
      </c>
      <c r="D43" t="s" s="20">
        <v>113</v>
      </c>
      <c r="E43" t="s" s="20">
        <v>109</v>
      </c>
      <c r="F43" t="s" s="20">
        <v>113</v>
      </c>
      <c r="G43" t="s" s="20">
        <v>118</v>
      </c>
      <c r="H43" t="s" s="20">
        <v>110</v>
      </c>
      <c r="I43" t="s" s="20">
        <v>111</v>
      </c>
      <c r="J43" t="s" s="20">
        <v>109</v>
      </c>
      <c r="K43" t="s" s="20">
        <v>109</v>
      </c>
      <c r="U43" s="23">
        <f>IF($A$43="","",$A$43&amp;"|"&amp;$B$43&amp;"|"&amp;$C$43)</f>
      </c>
      <c r="V43" s="23">
        <f>COUNTA($F$43:$K$43)</f>
      </c>
      <c r="W43" s="23">
        <f>IF($D$43="","OK",IFERROR(UPPER(INDIRECT("'Famille - "&amp;$D$43&amp;"'!"&amp;ADDRESS(10,(2+IF($A$43="Paire",0,1)*8+(MATCH($B$43,{"Lundi","Mardi","Jeudi","Vendredi"},0)-1)*2+IF($C$43="Matin",0,1))))),"OK"))</f>
      </c>
      <c r="X43" s="23">
        <f>IF($D$43="",0,IFERROR(INDIRECT("'Famille - "&amp;$D$43&amp;"'!"&amp;"$B$5"),0))</f>
      </c>
      <c r="Y43" s="23">
        <f>IF($V$43&gt;$X$43,$V$43-$X$43,0)</f>
      </c>
      <c r="Z43" s="23">
        <f>","&amp;_xlfn.TEXTJOIN(",",TRUE,$F$43:$K$43)&amp;","</f>
      </c>
      <c r="AA43" s="23">
        <f t="array" ref="AA43">IFERROR(INDEX($B$119:$B$131,SMALL(IF(INDEX($C$119:$R$131,0,MATCH($U$43,$C$118:$R$118,0))=1,ROW($B$119:$B$131)-ROW($B$119)+1),1)),"")</f>
      </c>
      <c r="AB43" s="23">
        <f t="array" ref="AB43">IFERROR(INDEX($B$119:$B$131,SMALL(IF(INDEX($C$119:$R$131,0,MATCH($U$43,$C$118:$R$118,0))=1,ROW($B$119:$B$131)-ROW($B$119)+1),2)),"")</f>
      </c>
      <c r="AC43" s="23">
        <f t="array" ref="AC43">IFERROR(INDEX($B$119:$B$131,SMALL(IF(INDEX($C$119:$R$131,0,MATCH($U$43,$C$118:$R$118,0))=1,ROW($B$119:$B$131)-ROW($B$119)+1),3)),"")</f>
      </c>
      <c r="AD43" s="23">
        <f t="array" ref="AD43">IFERROR(INDEX($B$119:$B$131,SMALL(IF(INDEX($C$119:$R$131,0,MATCH($U$43,$C$118:$R$118,0))=1,ROW($B$119:$B$131)-ROW($B$119)+1),4)),"")</f>
      </c>
      <c r="AE43" s="23">
        <f t="array" ref="AE43">IFERROR(INDEX($B$119:$B$131,SMALL(IF(INDEX($C$119:$R$131,0,MATCH($U$43,$C$118:$R$118,0))=1,ROW($B$119:$B$131)-ROW($B$119)+1),5)),"")</f>
      </c>
      <c r="AF43" s="23">
        <f t="array" ref="AF43">IFERROR(INDEX($B$119:$B$131,SMALL(IF(INDEX($C$119:$R$131,0,MATCH($U$43,$C$118:$R$118,0))=1,ROW($B$119:$B$131)-ROW($B$119)+1),6)),"")</f>
      </c>
      <c r="AG43" s="23">
        <f t="array" ref="AG43">IFERROR(INDEX($B$119:$B$131,SMALL(IF(INDEX($C$119:$R$131,0,MATCH($U$43,$C$118:$R$118,0))=1,ROW($B$119:$B$131)-ROW($B$119)+1),7)),"")</f>
      </c>
      <c r="AH43" s="23">
        <f t="array" ref="AH43">IFERROR(INDEX($B$119:$B$131,SMALL(IF(INDEX($C$119:$R$131,0,MATCH($U$43,$C$118:$R$118,0))=1,ROW($B$119:$B$131)-ROW($B$119)+1),8)),"")</f>
      </c>
      <c r="AI43" s="23">
        <f t="array" ref="AI43">IFERROR(INDEX($B$119:$B$131,SMALL(IF(INDEX($C$119:$R$131,0,MATCH($U$43,$C$118:$R$118,0))=1,ROW($B$119:$B$131)-ROW($B$119)+1),9)),"")</f>
      </c>
      <c r="AJ43" s="23">
        <f t="array" ref="AJ43">IFERROR(INDEX($B$119:$B$131,SMALL(IF(INDEX($C$119:$R$131,0,MATCH($U$43,$C$118:$R$118,0))=1,ROW($B$119:$B$131)-ROW($B$119)+1),10)),"")</f>
      </c>
      <c r="AK43" s="23">
        <f t="array" ref="AK43">IFERROR(INDEX($B$119:$B$131,SMALL(IF(INDEX($C$119:$R$131,0,MATCH($U$43,$C$118:$R$118,0))=1,ROW($B$119:$B$131)-ROW($B$119)+1),11)),"")</f>
      </c>
      <c r="AL43" s="23">
        <f t="array" ref="AL43">IFERROR(INDEX($B$119:$B$131,SMALL(IF(INDEX($C$119:$R$131,0,MATCH($U$43,$C$118:$R$118,0))=1,ROW($B$119:$B$131)-ROW($B$119)+1),12)),"")</f>
      </c>
      <c r="AM43" s="23">
        <f t="array" ref="AM43">IFERROR(INDEX($B$119:$B$131,SMALL(IF(INDEX($C$119:$R$131,0,MATCH($U$43,$C$118:$R$118,0))=1,ROW($B$119:$B$131)-ROW($B$119)+1),13)),"")</f>
      </c>
    </row>
    <row r="44">
      <c r="A44" t="s" s="21">
        <v>128</v>
      </c>
      <c r="B44" t="s" s="21">
        <v>124</v>
      </c>
      <c r="C44" t="s" s="21">
        <v>123</v>
      </c>
      <c r="D44" t="s" s="20">
        <v>122</v>
      </c>
      <c r="E44" t="s" s="20">
        <v>109</v>
      </c>
      <c r="F44" t="s" s="20">
        <v>122</v>
      </c>
      <c r="G44" t="s" s="20">
        <v>119</v>
      </c>
      <c r="H44" t="s" s="20">
        <v>116</v>
      </c>
      <c r="I44" t="s" s="20">
        <v>109</v>
      </c>
      <c r="J44" t="s" s="20">
        <v>109</v>
      </c>
      <c r="K44" t="s" s="20">
        <v>109</v>
      </c>
      <c r="U44" s="23">
        <f>IF($A$44="","",$A$44&amp;"|"&amp;$B$44&amp;"|"&amp;$C$44)</f>
      </c>
      <c r="V44" s="23">
        <f>COUNTA($F$44:$K$44)</f>
      </c>
      <c r="W44" s="23">
        <f>IF($D$44="","OK",IFERROR(UPPER(INDIRECT("'Famille - "&amp;$D$44&amp;"'!"&amp;ADDRESS(10,(2+IF($A$44="Paire",0,1)*8+(MATCH($B$44,{"Lundi","Mardi","Jeudi","Vendredi"},0)-1)*2+IF($C$44="Matin",0,1))))),"OK"))</f>
      </c>
      <c r="X44" s="23">
        <f>IF($D$44="",0,IFERROR(INDIRECT("'Famille - "&amp;$D$44&amp;"'!"&amp;"$B$5"),0))</f>
      </c>
      <c r="Y44" s="23">
        <f>IF($V$44&gt;$X$44,$V$44-$X$44,0)</f>
      </c>
      <c r="Z44" s="23">
        <f>","&amp;_xlfn.TEXTJOIN(",",TRUE,$F$44:$K$44)&amp;","</f>
      </c>
      <c r="AA44" s="23">
        <f t="array" ref="AA44">IFERROR(INDEX($B$119:$B$131,SMALL(IF(INDEX($C$119:$R$131,0,MATCH($U$44,$C$118:$R$118,0))=1,ROW($B$119:$B$131)-ROW($B$119)+1),1)),"")</f>
      </c>
      <c r="AB44" s="23">
        <f t="array" ref="AB44">IFERROR(INDEX($B$119:$B$131,SMALL(IF(INDEX($C$119:$R$131,0,MATCH($U$44,$C$118:$R$118,0))=1,ROW($B$119:$B$131)-ROW($B$119)+1),2)),"")</f>
      </c>
      <c r="AC44" s="23">
        <f t="array" ref="AC44">IFERROR(INDEX($B$119:$B$131,SMALL(IF(INDEX($C$119:$R$131,0,MATCH($U$44,$C$118:$R$118,0))=1,ROW($B$119:$B$131)-ROW($B$119)+1),3)),"")</f>
      </c>
      <c r="AD44" s="23">
        <f t="array" ref="AD44">IFERROR(INDEX($B$119:$B$131,SMALL(IF(INDEX($C$119:$R$131,0,MATCH($U$44,$C$118:$R$118,0))=1,ROW($B$119:$B$131)-ROW($B$119)+1),4)),"")</f>
      </c>
      <c r="AE44" s="23">
        <f t="array" ref="AE44">IFERROR(INDEX($B$119:$B$131,SMALL(IF(INDEX($C$119:$R$131,0,MATCH($U$44,$C$118:$R$118,0))=1,ROW($B$119:$B$131)-ROW($B$119)+1),5)),"")</f>
      </c>
      <c r="AF44" s="23">
        <f t="array" ref="AF44">IFERROR(INDEX($B$119:$B$131,SMALL(IF(INDEX($C$119:$R$131,0,MATCH($U$44,$C$118:$R$118,0))=1,ROW($B$119:$B$131)-ROW($B$119)+1),6)),"")</f>
      </c>
      <c r="AG44" s="23">
        <f t="array" ref="AG44">IFERROR(INDEX($B$119:$B$131,SMALL(IF(INDEX($C$119:$R$131,0,MATCH($U$44,$C$118:$R$118,0))=1,ROW($B$119:$B$131)-ROW($B$119)+1),7)),"")</f>
      </c>
      <c r="AH44" s="23">
        <f t="array" ref="AH44">IFERROR(INDEX($B$119:$B$131,SMALL(IF(INDEX($C$119:$R$131,0,MATCH($U$44,$C$118:$R$118,0))=1,ROW($B$119:$B$131)-ROW($B$119)+1),8)),"")</f>
      </c>
      <c r="AI44" s="23">
        <f t="array" ref="AI44">IFERROR(INDEX($B$119:$B$131,SMALL(IF(INDEX($C$119:$R$131,0,MATCH($U$44,$C$118:$R$118,0))=1,ROW($B$119:$B$131)-ROW($B$119)+1),9)),"")</f>
      </c>
      <c r="AJ44" s="23">
        <f t="array" ref="AJ44">IFERROR(INDEX($B$119:$B$131,SMALL(IF(INDEX($C$119:$R$131,0,MATCH($U$44,$C$118:$R$118,0))=1,ROW($B$119:$B$131)-ROW($B$119)+1),10)),"")</f>
      </c>
      <c r="AK44" s="23">
        <f t="array" ref="AK44">IFERROR(INDEX($B$119:$B$131,SMALL(IF(INDEX($C$119:$R$131,0,MATCH($U$44,$C$118:$R$118,0))=1,ROW($B$119:$B$131)-ROW($B$119)+1),11)),"")</f>
      </c>
      <c r="AL44" s="23">
        <f t="array" ref="AL44">IFERROR(INDEX($B$119:$B$131,SMALL(IF(INDEX($C$119:$R$131,0,MATCH($U$44,$C$118:$R$118,0))=1,ROW($B$119:$B$131)-ROW($B$119)+1),12)),"")</f>
      </c>
      <c r="AM44" s="23">
        <f t="array" ref="AM44">IFERROR(INDEX($B$119:$B$131,SMALL(IF(INDEX($C$119:$R$131,0,MATCH($U$44,$C$118:$R$118,0))=1,ROW($B$119:$B$131)-ROW($B$119)+1),13)),"")</f>
      </c>
    </row>
    <row r="45">
      <c r="A45" t="s" s="21">
        <v>128</v>
      </c>
      <c r="B45" t="s" s="21">
        <v>124</v>
      </c>
      <c r="C45" t="s" s="21">
        <v>123</v>
      </c>
      <c r="D45" t="s" s="20">
        <v>121</v>
      </c>
      <c r="E45" t="s" s="20">
        <v>109</v>
      </c>
      <c r="F45" t="s" s="20">
        <v>121</v>
      </c>
      <c r="G45" t="s" s="20">
        <v>117</v>
      </c>
      <c r="H45" t="s" s="20">
        <v>109</v>
      </c>
      <c r="I45" t="s" s="20">
        <v>109</v>
      </c>
      <c r="J45" t="s" s="20">
        <v>109</v>
      </c>
      <c r="K45" t="s" s="20">
        <v>109</v>
      </c>
      <c r="U45" s="23">
        <f>IF($A$45="","",$A$45&amp;"|"&amp;$B$45&amp;"|"&amp;$C$45)</f>
      </c>
      <c r="V45" s="23">
        <f>COUNTA($F$45:$K$45)</f>
      </c>
      <c r="W45" s="23">
        <f>IF($D$45="","OK",IFERROR(UPPER(INDIRECT("'Famille - "&amp;$D$45&amp;"'!"&amp;ADDRESS(10,(2+IF($A$45="Paire",0,1)*8+(MATCH($B$45,{"Lundi","Mardi","Jeudi","Vendredi"},0)-1)*2+IF($C$45="Matin",0,1))))),"OK"))</f>
      </c>
      <c r="X45" s="23">
        <f>IF($D$45="",0,IFERROR(INDIRECT("'Famille - "&amp;$D$45&amp;"'!"&amp;"$B$5"),0))</f>
      </c>
      <c r="Y45" s="23">
        <f>IF($V$45&gt;$X$45,$V$45-$X$45,0)</f>
      </c>
      <c r="Z45" s="23">
        <f>","&amp;_xlfn.TEXTJOIN(",",TRUE,$F$45:$K$45)&amp;","</f>
      </c>
      <c r="AA45" s="23">
        <f t="array" ref="AA45">IFERROR(INDEX($B$119:$B$131,SMALL(IF(INDEX($C$119:$R$131,0,MATCH($U$45,$C$118:$R$118,0))=1,ROW($B$119:$B$131)-ROW($B$119)+1),1)),"")</f>
      </c>
      <c r="AB45" s="23">
        <f t="array" ref="AB45">IFERROR(INDEX($B$119:$B$131,SMALL(IF(INDEX($C$119:$R$131,0,MATCH($U$45,$C$118:$R$118,0))=1,ROW($B$119:$B$131)-ROW($B$119)+1),2)),"")</f>
      </c>
      <c r="AC45" s="23">
        <f t="array" ref="AC45">IFERROR(INDEX($B$119:$B$131,SMALL(IF(INDEX($C$119:$R$131,0,MATCH($U$45,$C$118:$R$118,0))=1,ROW($B$119:$B$131)-ROW($B$119)+1),3)),"")</f>
      </c>
      <c r="AD45" s="23">
        <f t="array" ref="AD45">IFERROR(INDEX($B$119:$B$131,SMALL(IF(INDEX($C$119:$R$131,0,MATCH($U$45,$C$118:$R$118,0))=1,ROW($B$119:$B$131)-ROW($B$119)+1),4)),"")</f>
      </c>
      <c r="AE45" s="23">
        <f t="array" ref="AE45">IFERROR(INDEX($B$119:$B$131,SMALL(IF(INDEX($C$119:$R$131,0,MATCH($U$45,$C$118:$R$118,0))=1,ROW($B$119:$B$131)-ROW($B$119)+1),5)),"")</f>
      </c>
      <c r="AF45" s="23">
        <f t="array" ref="AF45">IFERROR(INDEX($B$119:$B$131,SMALL(IF(INDEX($C$119:$R$131,0,MATCH($U$45,$C$118:$R$118,0))=1,ROW($B$119:$B$131)-ROW($B$119)+1),6)),"")</f>
      </c>
      <c r="AG45" s="23">
        <f t="array" ref="AG45">IFERROR(INDEX($B$119:$B$131,SMALL(IF(INDEX($C$119:$R$131,0,MATCH($U$45,$C$118:$R$118,0))=1,ROW($B$119:$B$131)-ROW($B$119)+1),7)),"")</f>
      </c>
      <c r="AH45" s="23">
        <f t="array" ref="AH45">IFERROR(INDEX($B$119:$B$131,SMALL(IF(INDEX($C$119:$R$131,0,MATCH($U$45,$C$118:$R$118,0))=1,ROW($B$119:$B$131)-ROW($B$119)+1),8)),"")</f>
      </c>
      <c r="AI45" s="23">
        <f t="array" ref="AI45">IFERROR(INDEX($B$119:$B$131,SMALL(IF(INDEX($C$119:$R$131,0,MATCH($U$45,$C$118:$R$118,0))=1,ROW($B$119:$B$131)-ROW($B$119)+1),9)),"")</f>
      </c>
      <c r="AJ45" s="23">
        <f t="array" ref="AJ45">IFERROR(INDEX($B$119:$B$131,SMALL(IF(INDEX($C$119:$R$131,0,MATCH($U$45,$C$118:$R$118,0))=1,ROW($B$119:$B$131)-ROW($B$119)+1),10)),"")</f>
      </c>
      <c r="AK45" s="23">
        <f t="array" ref="AK45">IFERROR(INDEX($B$119:$B$131,SMALL(IF(INDEX($C$119:$R$131,0,MATCH($U$45,$C$118:$R$118,0))=1,ROW($B$119:$B$131)-ROW($B$119)+1),11)),"")</f>
      </c>
      <c r="AL45" s="23">
        <f t="array" ref="AL45">IFERROR(INDEX($B$119:$B$131,SMALL(IF(INDEX($C$119:$R$131,0,MATCH($U$45,$C$118:$R$118,0))=1,ROW($B$119:$B$131)-ROW($B$119)+1),12)),"")</f>
      </c>
      <c r="AM45" s="23">
        <f t="array" ref="AM45">IFERROR(INDEX($B$119:$B$131,SMALL(IF(INDEX($C$119:$R$131,0,MATCH($U$45,$C$118:$R$118,0))=1,ROW($B$119:$B$131)-ROW($B$119)+1),13)),"")</f>
      </c>
    </row>
    <row r="46">
      <c r="A46" t="s" s="21">
        <v>128</v>
      </c>
      <c r="B46" t="s" s="21">
        <v>126</v>
      </c>
      <c r="C46" t="s" s="21">
        <v>107</v>
      </c>
      <c r="D46" t="s" s="20">
        <v>112</v>
      </c>
      <c r="E46" t="s" s="20">
        <v>109</v>
      </c>
      <c r="F46" t="s" s="20">
        <v>112</v>
      </c>
      <c r="G46" t="s" s="20">
        <v>113</v>
      </c>
      <c r="H46" t="s" s="20">
        <v>120</v>
      </c>
      <c r="I46" t="s" s="20">
        <v>109</v>
      </c>
      <c r="J46" t="s" s="20">
        <v>109</v>
      </c>
      <c r="K46" t="s" s="20">
        <v>109</v>
      </c>
      <c r="U46" s="23">
        <f>IF($A$46="","",$A$46&amp;"|"&amp;$B$46&amp;"|"&amp;$C$46)</f>
      </c>
      <c r="V46" s="23">
        <f>COUNTA($F$46:$K$46)</f>
      </c>
      <c r="W46" s="23">
        <f>IF($D$46="","OK",IFERROR(UPPER(INDIRECT("'Famille - "&amp;$D$46&amp;"'!"&amp;ADDRESS(10,(2+IF($A$46="Paire",0,1)*8+(MATCH($B$46,{"Lundi","Mardi","Jeudi","Vendredi"},0)-1)*2+IF($C$46="Matin",0,1))))),"OK"))</f>
      </c>
      <c r="X46" s="23">
        <f>IF($D$46="",0,IFERROR(INDIRECT("'Famille - "&amp;$D$46&amp;"'!"&amp;"$B$5"),0))</f>
      </c>
      <c r="Y46" s="23">
        <f>IF($V$46&gt;$X$46,$V$46-$X$46,0)</f>
      </c>
      <c r="Z46" s="23">
        <f>","&amp;_xlfn.TEXTJOIN(",",TRUE,$F$46:$K$46)&amp;","</f>
      </c>
      <c r="AA46" s="23">
        <f t="array" ref="AA46">IFERROR(INDEX($B$119:$B$131,SMALL(IF(INDEX($C$119:$R$131,0,MATCH($U$46,$C$118:$R$118,0))=1,ROW($B$119:$B$131)-ROW($B$119)+1),1)),"")</f>
      </c>
      <c r="AB46" s="23">
        <f t="array" ref="AB46">IFERROR(INDEX($B$119:$B$131,SMALL(IF(INDEX($C$119:$R$131,0,MATCH($U$46,$C$118:$R$118,0))=1,ROW($B$119:$B$131)-ROW($B$119)+1),2)),"")</f>
      </c>
      <c r="AC46" s="23">
        <f t="array" ref="AC46">IFERROR(INDEX($B$119:$B$131,SMALL(IF(INDEX($C$119:$R$131,0,MATCH($U$46,$C$118:$R$118,0))=1,ROW($B$119:$B$131)-ROW($B$119)+1),3)),"")</f>
      </c>
      <c r="AD46" s="23">
        <f t="array" ref="AD46">IFERROR(INDEX($B$119:$B$131,SMALL(IF(INDEX($C$119:$R$131,0,MATCH($U$46,$C$118:$R$118,0))=1,ROW($B$119:$B$131)-ROW($B$119)+1),4)),"")</f>
      </c>
      <c r="AE46" s="23">
        <f t="array" ref="AE46">IFERROR(INDEX($B$119:$B$131,SMALL(IF(INDEX($C$119:$R$131,0,MATCH($U$46,$C$118:$R$118,0))=1,ROW($B$119:$B$131)-ROW($B$119)+1),5)),"")</f>
      </c>
      <c r="AF46" s="23">
        <f t="array" ref="AF46">IFERROR(INDEX($B$119:$B$131,SMALL(IF(INDEX($C$119:$R$131,0,MATCH($U$46,$C$118:$R$118,0))=1,ROW($B$119:$B$131)-ROW($B$119)+1),6)),"")</f>
      </c>
      <c r="AG46" s="23">
        <f t="array" ref="AG46">IFERROR(INDEX($B$119:$B$131,SMALL(IF(INDEX($C$119:$R$131,0,MATCH($U$46,$C$118:$R$118,0))=1,ROW($B$119:$B$131)-ROW($B$119)+1),7)),"")</f>
      </c>
      <c r="AH46" s="23">
        <f t="array" ref="AH46">IFERROR(INDEX($B$119:$B$131,SMALL(IF(INDEX($C$119:$R$131,0,MATCH($U$46,$C$118:$R$118,0))=1,ROW($B$119:$B$131)-ROW($B$119)+1),8)),"")</f>
      </c>
      <c r="AI46" s="23">
        <f t="array" ref="AI46">IFERROR(INDEX($B$119:$B$131,SMALL(IF(INDEX($C$119:$R$131,0,MATCH($U$46,$C$118:$R$118,0))=1,ROW($B$119:$B$131)-ROW($B$119)+1),9)),"")</f>
      </c>
      <c r="AJ46" s="23">
        <f t="array" ref="AJ46">IFERROR(INDEX($B$119:$B$131,SMALL(IF(INDEX($C$119:$R$131,0,MATCH($U$46,$C$118:$R$118,0))=1,ROW($B$119:$B$131)-ROW($B$119)+1),10)),"")</f>
      </c>
      <c r="AK46" s="23">
        <f t="array" ref="AK46">IFERROR(INDEX($B$119:$B$131,SMALL(IF(INDEX($C$119:$R$131,0,MATCH($U$46,$C$118:$R$118,0))=1,ROW($B$119:$B$131)-ROW($B$119)+1),11)),"")</f>
      </c>
      <c r="AL46" s="23">
        <f t="array" ref="AL46">IFERROR(INDEX($B$119:$B$131,SMALL(IF(INDEX($C$119:$R$131,0,MATCH($U$46,$C$118:$R$118,0))=1,ROW($B$119:$B$131)-ROW($B$119)+1),12)),"")</f>
      </c>
      <c r="AM46" s="23">
        <f t="array" ref="AM46">IFERROR(INDEX($B$119:$B$131,SMALL(IF(INDEX($C$119:$R$131,0,MATCH($U$46,$C$118:$R$118,0))=1,ROW($B$119:$B$131)-ROW($B$119)+1),13)),"")</f>
      </c>
    </row>
    <row r="47">
      <c r="A47" t="s" s="21">
        <v>128</v>
      </c>
      <c r="B47" t="s" s="21">
        <v>126</v>
      </c>
      <c r="C47" t="s" s="21">
        <v>107</v>
      </c>
      <c r="D47" t="s" s="20">
        <v>108</v>
      </c>
      <c r="E47" t="s" s="20">
        <v>109</v>
      </c>
      <c r="F47" t="s" s="20">
        <v>110</v>
      </c>
      <c r="G47" t="s" s="20">
        <v>111</v>
      </c>
      <c r="H47" t="s" s="20">
        <v>118</v>
      </c>
      <c r="I47" t="s" s="20">
        <v>119</v>
      </c>
      <c r="J47" t="s" s="20">
        <v>121</v>
      </c>
      <c r="K47" t="s" s="20">
        <v>122</v>
      </c>
      <c r="U47" s="23">
        <f>IF($A$47="","",$A$47&amp;"|"&amp;$B$47&amp;"|"&amp;$C$47)</f>
      </c>
      <c r="V47" s="23">
        <f>COUNTA($F$47:$K$47)</f>
      </c>
      <c r="W47" s="23">
        <f>IF($D$47="","OK",IFERROR(UPPER(INDIRECT("'Famille - "&amp;$D$47&amp;"'!"&amp;ADDRESS(10,(2+IF($A$47="Paire",0,1)*8+(MATCH($B$47,{"Lundi","Mardi","Jeudi","Vendredi"},0)-1)*2+IF($C$47="Matin",0,1))))),"OK"))</f>
      </c>
      <c r="X47" s="23">
        <f>IF($D$47="",0,IFERROR(INDIRECT("'Famille - "&amp;$D$47&amp;"'!"&amp;"$B$5"),0))</f>
      </c>
      <c r="Y47" s="23">
        <f>IF($V$47&gt;$X$47,$V$47-$X$47,0)</f>
      </c>
      <c r="Z47" s="23">
        <f>","&amp;_xlfn.TEXTJOIN(",",TRUE,$F$47:$K$47)&amp;","</f>
      </c>
      <c r="AA47" s="23">
        <f t="array" ref="AA47">IFERROR(INDEX($B$119:$B$131,SMALL(IF(INDEX($C$119:$R$131,0,MATCH($U$47,$C$118:$R$118,0))=1,ROW($B$119:$B$131)-ROW($B$119)+1),1)),"")</f>
      </c>
      <c r="AB47" s="23">
        <f t="array" ref="AB47">IFERROR(INDEX($B$119:$B$131,SMALL(IF(INDEX($C$119:$R$131,0,MATCH($U$47,$C$118:$R$118,0))=1,ROW($B$119:$B$131)-ROW($B$119)+1),2)),"")</f>
      </c>
      <c r="AC47" s="23">
        <f t="array" ref="AC47">IFERROR(INDEX($B$119:$B$131,SMALL(IF(INDEX($C$119:$R$131,0,MATCH($U$47,$C$118:$R$118,0))=1,ROW($B$119:$B$131)-ROW($B$119)+1),3)),"")</f>
      </c>
      <c r="AD47" s="23">
        <f t="array" ref="AD47">IFERROR(INDEX($B$119:$B$131,SMALL(IF(INDEX($C$119:$R$131,0,MATCH($U$47,$C$118:$R$118,0))=1,ROW($B$119:$B$131)-ROW($B$119)+1),4)),"")</f>
      </c>
      <c r="AE47" s="23">
        <f t="array" ref="AE47">IFERROR(INDEX($B$119:$B$131,SMALL(IF(INDEX($C$119:$R$131,0,MATCH($U$47,$C$118:$R$118,0))=1,ROW($B$119:$B$131)-ROW($B$119)+1),5)),"")</f>
      </c>
      <c r="AF47" s="23">
        <f t="array" ref="AF47">IFERROR(INDEX($B$119:$B$131,SMALL(IF(INDEX($C$119:$R$131,0,MATCH($U$47,$C$118:$R$118,0))=1,ROW($B$119:$B$131)-ROW($B$119)+1),6)),"")</f>
      </c>
      <c r="AG47" s="23">
        <f t="array" ref="AG47">IFERROR(INDEX($B$119:$B$131,SMALL(IF(INDEX($C$119:$R$131,0,MATCH($U$47,$C$118:$R$118,0))=1,ROW($B$119:$B$131)-ROW($B$119)+1),7)),"")</f>
      </c>
      <c r="AH47" s="23">
        <f t="array" ref="AH47">IFERROR(INDEX($B$119:$B$131,SMALL(IF(INDEX($C$119:$R$131,0,MATCH($U$47,$C$118:$R$118,0))=1,ROW($B$119:$B$131)-ROW($B$119)+1),8)),"")</f>
      </c>
      <c r="AI47" s="23">
        <f t="array" ref="AI47">IFERROR(INDEX($B$119:$B$131,SMALL(IF(INDEX($C$119:$R$131,0,MATCH($U$47,$C$118:$R$118,0))=1,ROW($B$119:$B$131)-ROW($B$119)+1),9)),"")</f>
      </c>
      <c r="AJ47" s="23">
        <f t="array" ref="AJ47">IFERROR(INDEX($B$119:$B$131,SMALL(IF(INDEX($C$119:$R$131,0,MATCH($U$47,$C$118:$R$118,0))=1,ROW($B$119:$B$131)-ROW($B$119)+1),10)),"")</f>
      </c>
      <c r="AK47" s="23">
        <f t="array" ref="AK47">IFERROR(INDEX($B$119:$B$131,SMALL(IF(INDEX($C$119:$R$131,0,MATCH($U$47,$C$118:$R$118,0))=1,ROW($B$119:$B$131)-ROW($B$119)+1),11)),"")</f>
      </c>
      <c r="AL47" s="23">
        <f t="array" ref="AL47">IFERROR(INDEX($B$119:$B$131,SMALL(IF(INDEX($C$119:$R$131,0,MATCH($U$47,$C$118:$R$118,0))=1,ROW($B$119:$B$131)-ROW($B$119)+1),12)),"")</f>
      </c>
      <c r="AM47" s="23">
        <f t="array" ref="AM47">IFERROR(INDEX($B$119:$B$131,SMALL(IF(INDEX($C$119:$R$131,0,MATCH($U$47,$C$118:$R$118,0))=1,ROW($B$119:$B$131)-ROW($B$119)+1),13)),"")</f>
      </c>
    </row>
    <row r="48">
      <c r="A48" t="s" s="21">
        <v>128</v>
      </c>
      <c r="B48" t="s" s="21">
        <v>126</v>
      </c>
      <c r="C48" t="s" s="21">
        <v>107</v>
      </c>
      <c r="D48" t="s" s="20">
        <v>114</v>
      </c>
      <c r="E48" t="s" s="20">
        <v>109</v>
      </c>
      <c r="F48" t="s" s="20">
        <v>114</v>
      </c>
      <c r="G48" t="s" s="20">
        <v>116</v>
      </c>
      <c r="H48" t="s" s="20">
        <v>117</v>
      </c>
      <c r="I48" t="s" s="20">
        <v>109</v>
      </c>
      <c r="J48" t="s" s="20">
        <v>109</v>
      </c>
      <c r="K48" t="s" s="20">
        <v>109</v>
      </c>
      <c r="U48" s="23">
        <f>IF($A$48="","",$A$48&amp;"|"&amp;$B$48&amp;"|"&amp;$C$48)</f>
      </c>
      <c r="V48" s="23">
        <f>COUNTA($F$48:$K$48)</f>
      </c>
      <c r="W48" s="23">
        <f>IF($D$48="","OK",IFERROR(UPPER(INDIRECT("'Famille - "&amp;$D$48&amp;"'!"&amp;ADDRESS(10,(2+IF($A$48="Paire",0,1)*8+(MATCH($B$48,{"Lundi","Mardi","Jeudi","Vendredi"},0)-1)*2+IF($C$48="Matin",0,1))))),"OK"))</f>
      </c>
      <c r="X48" s="23">
        <f>IF($D$48="",0,IFERROR(INDIRECT("'Famille - "&amp;$D$48&amp;"'!"&amp;"$B$5"),0))</f>
      </c>
      <c r="Y48" s="23">
        <f>IF($V$48&gt;$X$48,$V$48-$X$48,0)</f>
      </c>
      <c r="Z48" s="23">
        <f>","&amp;_xlfn.TEXTJOIN(",",TRUE,$F$48:$K$48)&amp;","</f>
      </c>
      <c r="AA48" s="23">
        <f t="array" ref="AA48">IFERROR(INDEX($B$119:$B$131,SMALL(IF(INDEX($C$119:$R$131,0,MATCH($U$48,$C$118:$R$118,0))=1,ROW($B$119:$B$131)-ROW($B$119)+1),1)),"")</f>
      </c>
      <c r="AB48" s="23">
        <f t="array" ref="AB48">IFERROR(INDEX($B$119:$B$131,SMALL(IF(INDEX($C$119:$R$131,0,MATCH($U$48,$C$118:$R$118,0))=1,ROW($B$119:$B$131)-ROW($B$119)+1),2)),"")</f>
      </c>
      <c r="AC48" s="23">
        <f t="array" ref="AC48">IFERROR(INDEX($B$119:$B$131,SMALL(IF(INDEX($C$119:$R$131,0,MATCH($U$48,$C$118:$R$118,0))=1,ROW($B$119:$B$131)-ROW($B$119)+1),3)),"")</f>
      </c>
      <c r="AD48" s="23">
        <f t="array" ref="AD48">IFERROR(INDEX($B$119:$B$131,SMALL(IF(INDEX($C$119:$R$131,0,MATCH($U$48,$C$118:$R$118,0))=1,ROW($B$119:$B$131)-ROW($B$119)+1),4)),"")</f>
      </c>
      <c r="AE48" s="23">
        <f t="array" ref="AE48">IFERROR(INDEX($B$119:$B$131,SMALL(IF(INDEX($C$119:$R$131,0,MATCH($U$48,$C$118:$R$118,0))=1,ROW($B$119:$B$131)-ROW($B$119)+1),5)),"")</f>
      </c>
      <c r="AF48" s="23">
        <f t="array" ref="AF48">IFERROR(INDEX($B$119:$B$131,SMALL(IF(INDEX($C$119:$R$131,0,MATCH($U$48,$C$118:$R$118,0))=1,ROW($B$119:$B$131)-ROW($B$119)+1),6)),"")</f>
      </c>
      <c r="AG48" s="23">
        <f t="array" ref="AG48">IFERROR(INDEX($B$119:$B$131,SMALL(IF(INDEX($C$119:$R$131,0,MATCH($U$48,$C$118:$R$118,0))=1,ROW($B$119:$B$131)-ROW($B$119)+1),7)),"")</f>
      </c>
      <c r="AH48" s="23">
        <f t="array" ref="AH48">IFERROR(INDEX($B$119:$B$131,SMALL(IF(INDEX($C$119:$R$131,0,MATCH($U$48,$C$118:$R$118,0))=1,ROW($B$119:$B$131)-ROW($B$119)+1),8)),"")</f>
      </c>
      <c r="AI48" s="23">
        <f t="array" ref="AI48">IFERROR(INDEX($B$119:$B$131,SMALL(IF(INDEX($C$119:$R$131,0,MATCH($U$48,$C$118:$R$118,0))=1,ROW($B$119:$B$131)-ROW($B$119)+1),9)),"")</f>
      </c>
      <c r="AJ48" s="23">
        <f t="array" ref="AJ48">IFERROR(INDEX($B$119:$B$131,SMALL(IF(INDEX($C$119:$R$131,0,MATCH($U$48,$C$118:$R$118,0))=1,ROW($B$119:$B$131)-ROW($B$119)+1),10)),"")</f>
      </c>
      <c r="AK48" s="23">
        <f t="array" ref="AK48">IFERROR(INDEX($B$119:$B$131,SMALL(IF(INDEX($C$119:$R$131,0,MATCH($U$48,$C$118:$R$118,0))=1,ROW($B$119:$B$131)-ROW($B$119)+1),11)),"")</f>
      </c>
      <c r="AL48" s="23">
        <f t="array" ref="AL48">IFERROR(INDEX($B$119:$B$131,SMALL(IF(INDEX($C$119:$R$131,0,MATCH($U$48,$C$118:$R$118,0))=1,ROW($B$119:$B$131)-ROW($B$119)+1),12)),"")</f>
      </c>
      <c r="AM48" s="23">
        <f t="array" ref="AM48">IFERROR(INDEX($B$119:$B$131,SMALL(IF(INDEX($C$119:$R$131,0,MATCH($U$48,$C$118:$R$118,0))=1,ROW($B$119:$B$131)-ROW($B$119)+1),13)),"")</f>
      </c>
    </row>
    <row r="49">
      <c r="A49" t="s" s="21">
        <v>128</v>
      </c>
      <c r="B49" t="s" s="21">
        <v>126</v>
      </c>
      <c r="C49" t="s" s="21">
        <v>123</v>
      </c>
      <c r="D49" t="s" s="20">
        <v>121</v>
      </c>
      <c r="E49" t="s" s="20">
        <v>109</v>
      </c>
      <c r="F49" t="s" s="20">
        <v>121</v>
      </c>
      <c r="G49" t="s" s="20">
        <v>112</v>
      </c>
      <c r="H49" t="s" s="20">
        <v>113</v>
      </c>
      <c r="I49" t="s" s="20">
        <v>114</v>
      </c>
      <c r="J49" t="s" s="20">
        <v>109</v>
      </c>
      <c r="K49" t="s" s="20">
        <v>109</v>
      </c>
      <c r="U49" s="23">
        <f>IF($A$49="","",$A$49&amp;"|"&amp;$B$49&amp;"|"&amp;$C$49)</f>
      </c>
      <c r="V49" s="23">
        <f>COUNTA($F$49:$K$49)</f>
      </c>
      <c r="W49" s="23">
        <f>IF($D$49="","OK",IFERROR(UPPER(INDIRECT("'Famille - "&amp;$D$49&amp;"'!"&amp;ADDRESS(10,(2+IF($A$49="Paire",0,1)*8+(MATCH($B$49,{"Lundi","Mardi","Jeudi","Vendredi"},0)-1)*2+IF($C$49="Matin",0,1))))),"OK"))</f>
      </c>
      <c r="X49" s="23">
        <f>IF($D$49="",0,IFERROR(INDIRECT("'Famille - "&amp;$D$49&amp;"'!"&amp;"$B$5"),0))</f>
      </c>
      <c r="Y49" s="23">
        <f>IF($V$49&gt;$X$49,$V$49-$X$49,0)</f>
      </c>
      <c r="Z49" s="23">
        <f>","&amp;_xlfn.TEXTJOIN(",",TRUE,$F$49:$K$49)&amp;","</f>
      </c>
      <c r="AA49" s="23">
        <f t="array" ref="AA49">IFERROR(INDEX($B$119:$B$131,SMALL(IF(INDEX($C$119:$R$131,0,MATCH($U$49,$C$118:$R$118,0))=1,ROW($B$119:$B$131)-ROW($B$119)+1),1)),"")</f>
      </c>
      <c r="AB49" s="23">
        <f t="array" ref="AB49">IFERROR(INDEX($B$119:$B$131,SMALL(IF(INDEX($C$119:$R$131,0,MATCH($U$49,$C$118:$R$118,0))=1,ROW($B$119:$B$131)-ROW($B$119)+1),2)),"")</f>
      </c>
      <c r="AC49" s="23">
        <f t="array" ref="AC49">IFERROR(INDEX($B$119:$B$131,SMALL(IF(INDEX($C$119:$R$131,0,MATCH($U$49,$C$118:$R$118,0))=1,ROW($B$119:$B$131)-ROW($B$119)+1),3)),"")</f>
      </c>
      <c r="AD49" s="23">
        <f t="array" ref="AD49">IFERROR(INDEX($B$119:$B$131,SMALL(IF(INDEX($C$119:$R$131,0,MATCH($U$49,$C$118:$R$118,0))=1,ROW($B$119:$B$131)-ROW($B$119)+1),4)),"")</f>
      </c>
      <c r="AE49" s="23">
        <f t="array" ref="AE49">IFERROR(INDEX($B$119:$B$131,SMALL(IF(INDEX($C$119:$R$131,0,MATCH($U$49,$C$118:$R$118,0))=1,ROW($B$119:$B$131)-ROW($B$119)+1),5)),"")</f>
      </c>
      <c r="AF49" s="23">
        <f t="array" ref="AF49">IFERROR(INDEX($B$119:$B$131,SMALL(IF(INDEX($C$119:$R$131,0,MATCH($U$49,$C$118:$R$118,0))=1,ROW($B$119:$B$131)-ROW($B$119)+1),6)),"")</f>
      </c>
      <c r="AG49" s="23">
        <f t="array" ref="AG49">IFERROR(INDEX($B$119:$B$131,SMALL(IF(INDEX($C$119:$R$131,0,MATCH($U$49,$C$118:$R$118,0))=1,ROW($B$119:$B$131)-ROW($B$119)+1),7)),"")</f>
      </c>
      <c r="AH49" s="23">
        <f t="array" ref="AH49">IFERROR(INDEX($B$119:$B$131,SMALL(IF(INDEX($C$119:$R$131,0,MATCH($U$49,$C$118:$R$118,0))=1,ROW($B$119:$B$131)-ROW($B$119)+1),8)),"")</f>
      </c>
      <c r="AI49" s="23">
        <f t="array" ref="AI49">IFERROR(INDEX($B$119:$B$131,SMALL(IF(INDEX($C$119:$R$131,0,MATCH($U$49,$C$118:$R$118,0))=1,ROW($B$119:$B$131)-ROW($B$119)+1),9)),"")</f>
      </c>
      <c r="AJ49" s="23">
        <f t="array" ref="AJ49">IFERROR(INDEX($B$119:$B$131,SMALL(IF(INDEX($C$119:$R$131,0,MATCH($U$49,$C$118:$R$118,0))=1,ROW($B$119:$B$131)-ROW($B$119)+1),10)),"")</f>
      </c>
      <c r="AK49" s="23">
        <f t="array" ref="AK49">IFERROR(INDEX($B$119:$B$131,SMALL(IF(INDEX($C$119:$R$131,0,MATCH($U$49,$C$118:$R$118,0))=1,ROW($B$119:$B$131)-ROW($B$119)+1),11)),"")</f>
      </c>
      <c r="AL49" s="23">
        <f t="array" ref="AL49">IFERROR(INDEX($B$119:$B$131,SMALL(IF(INDEX($C$119:$R$131,0,MATCH($U$49,$C$118:$R$118,0))=1,ROW($B$119:$B$131)-ROW($B$119)+1),12)),"")</f>
      </c>
      <c r="AM49" s="23">
        <f t="array" ref="AM49">IFERROR(INDEX($B$119:$B$131,SMALL(IF(INDEX($C$119:$R$131,0,MATCH($U$49,$C$118:$R$118,0))=1,ROW($B$119:$B$131)-ROW($B$119)+1),13)),"")</f>
      </c>
    </row>
    <row r="50">
      <c r="A50" t="s" s="21">
        <v>128</v>
      </c>
      <c r="B50" t="s" s="21">
        <v>126</v>
      </c>
      <c r="C50" t="s" s="21">
        <v>123</v>
      </c>
      <c r="D50" t="s" s="20">
        <v>118</v>
      </c>
      <c r="E50" t="s" s="20">
        <v>109</v>
      </c>
      <c r="F50" t="s" s="20">
        <v>118</v>
      </c>
      <c r="G50" t="s" s="20">
        <v>120</v>
      </c>
      <c r="H50" t="s" s="20">
        <v>110</v>
      </c>
      <c r="I50" t="s" s="20">
        <v>111</v>
      </c>
      <c r="J50" t="s" s="20">
        <v>109</v>
      </c>
      <c r="K50" t="s" s="20">
        <v>109</v>
      </c>
      <c r="U50" s="23">
        <f>IF($A$50="","",$A$50&amp;"|"&amp;$B$50&amp;"|"&amp;$C$50)</f>
      </c>
      <c r="V50" s="23">
        <f>COUNTA($F$50:$K$50)</f>
      </c>
      <c r="W50" s="23">
        <f>IF($D$50="","OK",IFERROR(UPPER(INDIRECT("'Famille - "&amp;$D$50&amp;"'!"&amp;ADDRESS(10,(2+IF($A$50="Paire",0,1)*8+(MATCH($B$50,{"Lundi","Mardi","Jeudi","Vendredi"},0)-1)*2+IF($C$50="Matin",0,1))))),"OK"))</f>
      </c>
      <c r="X50" s="23">
        <f>IF($D$50="",0,IFERROR(INDIRECT("'Famille - "&amp;$D$50&amp;"'!"&amp;"$B$5"),0))</f>
      </c>
      <c r="Y50" s="23">
        <f>IF($V$50&gt;$X$50,$V$50-$X$50,0)</f>
      </c>
      <c r="Z50" s="23">
        <f>","&amp;_xlfn.TEXTJOIN(",",TRUE,$F$50:$K$50)&amp;","</f>
      </c>
      <c r="AA50" s="23">
        <f t="array" ref="AA50">IFERROR(INDEX($B$119:$B$131,SMALL(IF(INDEX($C$119:$R$131,0,MATCH($U$50,$C$118:$R$118,0))=1,ROW($B$119:$B$131)-ROW($B$119)+1),1)),"")</f>
      </c>
      <c r="AB50" s="23">
        <f t="array" ref="AB50">IFERROR(INDEX($B$119:$B$131,SMALL(IF(INDEX($C$119:$R$131,0,MATCH($U$50,$C$118:$R$118,0))=1,ROW($B$119:$B$131)-ROW($B$119)+1),2)),"")</f>
      </c>
      <c r="AC50" s="23">
        <f t="array" ref="AC50">IFERROR(INDEX($B$119:$B$131,SMALL(IF(INDEX($C$119:$R$131,0,MATCH($U$50,$C$118:$R$118,0))=1,ROW($B$119:$B$131)-ROW($B$119)+1),3)),"")</f>
      </c>
      <c r="AD50" s="23">
        <f t="array" ref="AD50">IFERROR(INDEX($B$119:$B$131,SMALL(IF(INDEX($C$119:$R$131,0,MATCH($U$50,$C$118:$R$118,0))=1,ROW($B$119:$B$131)-ROW($B$119)+1),4)),"")</f>
      </c>
      <c r="AE50" s="23">
        <f t="array" ref="AE50">IFERROR(INDEX($B$119:$B$131,SMALL(IF(INDEX($C$119:$R$131,0,MATCH($U$50,$C$118:$R$118,0))=1,ROW($B$119:$B$131)-ROW($B$119)+1),5)),"")</f>
      </c>
      <c r="AF50" s="23">
        <f t="array" ref="AF50">IFERROR(INDEX($B$119:$B$131,SMALL(IF(INDEX($C$119:$R$131,0,MATCH($U$50,$C$118:$R$118,0))=1,ROW($B$119:$B$131)-ROW($B$119)+1),6)),"")</f>
      </c>
      <c r="AG50" s="23">
        <f t="array" ref="AG50">IFERROR(INDEX($B$119:$B$131,SMALL(IF(INDEX($C$119:$R$131,0,MATCH($U$50,$C$118:$R$118,0))=1,ROW($B$119:$B$131)-ROW($B$119)+1),7)),"")</f>
      </c>
      <c r="AH50" s="23">
        <f t="array" ref="AH50">IFERROR(INDEX($B$119:$B$131,SMALL(IF(INDEX($C$119:$R$131,0,MATCH($U$50,$C$118:$R$118,0))=1,ROW($B$119:$B$131)-ROW($B$119)+1),8)),"")</f>
      </c>
      <c r="AI50" s="23">
        <f t="array" ref="AI50">IFERROR(INDEX($B$119:$B$131,SMALL(IF(INDEX($C$119:$R$131,0,MATCH($U$50,$C$118:$R$118,0))=1,ROW($B$119:$B$131)-ROW($B$119)+1),9)),"")</f>
      </c>
      <c r="AJ50" s="23">
        <f t="array" ref="AJ50">IFERROR(INDEX($B$119:$B$131,SMALL(IF(INDEX($C$119:$R$131,0,MATCH($U$50,$C$118:$R$118,0))=1,ROW($B$119:$B$131)-ROW($B$119)+1),10)),"")</f>
      </c>
      <c r="AK50" s="23">
        <f t="array" ref="AK50">IFERROR(INDEX($B$119:$B$131,SMALL(IF(INDEX($C$119:$R$131,0,MATCH($U$50,$C$118:$R$118,0))=1,ROW($B$119:$B$131)-ROW($B$119)+1),11)),"")</f>
      </c>
      <c r="AL50" s="23">
        <f t="array" ref="AL50">IFERROR(INDEX($B$119:$B$131,SMALL(IF(INDEX($C$119:$R$131,0,MATCH($U$50,$C$118:$R$118,0))=1,ROW($B$119:$B$131)-ROW($B$119)+1),12)),"")</f>
      </c>
      <c r="AM50" s="23">
        <f t="array" ref="AM50">IFERROR(INDEX($B$119:$B$131,SMALL(IF(INDEX($C$119:$R$131,0,MATCH($U$50,$C$118:$R$118,0))=1,ROW($B$119:$B$131)-ROW($B$119)+1),13)),"")</f>
      </c>
    </row>
    <row r="51">
      <c r="A51" t="s" s="21">
        <v>128</v>
      </c>
      <c r="B51" t="s" s="21">
        <v>126</v>
      </c>
      <c r="C51" t="s" s="21">
        <v>123</v>
      </c>
      <c r="D51" t="s" s="20">
        <v>122</v>
      </c>
      <c r="E51" t="s" s="20">
        <v>109</v>
      </c>
      <c r="F51" t="s" s="20">
        <v>122</v>
      </c>
      <c r="G51" t="s" s="20">
        <v>119</v>
      </c>
      <c r="H51" t="s" s="20">
        <v>116</v>
      </c>
      <c r="I51" t="s" s="20">
        <v>117</v>
      </c>
      <c r="J51" t="s" s="20">
        <v>109</v>
      </c>
      <c r="K51" t="s" s="20">
        <v>109</v>
      </c>
      <c r="U51" s="23">
        <f>IF($A$51="","",$A$51&amp;"|"&amp;$B$51&amp;"|"&amp;$C$51)</f>
      </c>
      <c r="V51" s="23">
        <f>COUNTA($F$51:$K$51)</f>
      </c>
      <c r="W51" s="23">
        <f>IF($D$51="","OK",IFERROR(UPPER(INDIRECT("'Famille - "&amp;$D$51&amp;"'!"&amp;ADDRESS(10,(2+IF($A$51="Paire",0,1)*8+(MATCH($B$51,{"Lundi","Mardi","Jeudi","Vendredi"},0)-1)*2+IF($C$51="Matin",0,1))))),"OK"))</f>
      </c>
      <c r="X51" s="23">
        <f>IF($D$51="",0,IFERROR(INDIRECT("'Famille - "&amp;$D$51&amp;"'!"&amp;"$B$5"),0))</f>
      </c>
      <c r="Y51" s="23">
        <f>IF($V$51&gt;$X$51,$V$51-$X$51,0)</f>
      </c>
      <c r="Z51" s="23">
        <f>","&amp;_xlfn.TEXTJOIN(",",TRUE,$F$51:$K$51)&amp;","</f>
      </c>
      <c r="AA51" s="23">
        <f t="array" ref="AA51">IFERROR(INDEX($B$119:$B$131,SMALL(IF(INDEX($C$119:$R$131,0,MATCH($U$51,$C$118:$R$118,0))=1,ROW($B$119:$B$131)-ROW($B$119)+1),1)),"")</f>
      </c>
      <c r="AB51" s="23">
        <f t="array" ref="AB51">IFERROR(INDEX($B$119:$B$131,SMALL(IF(INDEX($C$119:$R$131,0,MATCH($U$51,$C$118:$R$118,0))=1,ROW($B$119:$B$131)-ROW($B$119)+1),2)),"")</f>
      </c>
      <c r="AC51" s="23">
        <f t="array" ref="AC51">IFERROR(INDEX($B$119:$B$131,SMALL(IF(INDEX($C$119:$R$131,0,MATCH($U$51,$C$118:$R$118,0))=1,ROW($B$119:$B$131)-ROW($B$119)+1),3)),"")</f>
      </c>
      <c r="AD51" s="23">
        <f t="array" ref="AD51">IFERROR(INDEX($B$119:$B$131,SMALL(IF(INDEX($C$119:$R$131,0,MATCH($U$51,$C$118:$R$118,0))=1,ROW($B$119:$B$131)-ROW($B$119)+1),4)),"")</f>
      </c>
      <c r="AE51" s="23">
        <f t="array" ref="AE51">IFERROR(INDEX($B$119:$B$131,SMALL(IF(INDEX($C$119:$R$131,0,MATCH($U$51,$C$118:$R$118,0))=1,ROW($B$119:$B$131)-ROW($B$119)+1),5)),"")</f>
      </c>
      <c r="AF51" s="23">
        <f t="array" ref="AF51">IFERROR(INDEX($B$119:$B$131,SMALL(IF(INDEX($C$119:$R$131,0,MATCH($U$51,$C$118:$R$118,0))=1,ROW($B$119:$B$131)-ROW($B$119)+1),6)),"")</f>
      </c>
      <c r="AG51" s="23">
        <f t="array" ref="AG51">IFERROR(INDEX($B$119:$B$131,SMALL(IF(INDEX($C$119:$R$131,0,MATCH($U$51,$C$118:$R$118,0))=1,ROW($B$119:$B$131)-ROW($B$119)+1),7)),"")</f>
      </c>
      <c r="AH51" s="23">
        <f t="array" ref="AH51">IFERROR(INDEX($B$119:$B$131,SMALL(IF(INDEX($C$119:$R$131,0,MATCH($U$51,$C$118:$R$118,0))=1,ROW($B$119:$B$131)-ROW($B$119)+1),8)),"")</f>
      </c>
      <c r="AI51" s="23">
        <f t="array" ref="AI51">IFERROR(INDEX($B$119:$B$131,SMALL(IF(INDEX($C$119:$R$131,0,MATCH($U$51,$C$118:$R$118,0))=1,ROW($B$119:$B$131)-ROW($B$119)+1),9)),"")</f>
      </c>
      <c r="AJ51" s="23">
        <f t="array" ref="AJ51">IFERROR(INDEX($B$119:$B$131,SMALL(IF(INDEX($C$119:$R$131,0,MATCH($U$51,$C$118:$R$118,0))=1,ROW($B$119:$B$131)-ROW($B$119)+1),10)),"")</f>
      </c>
      <c r="AK51" s="23">
        <f t="array" ref="AK51">IFERROR(INDEX($B$119:$B$131,SMALL(IF(INDEX($C$119:$R$131,0,MATCH($U$51,$C$118:$R$118,0))=1,ROW($B$119:$B$131)-ROW($B$119)+1),11)),"")</f>
      </c>
      <c r="AL51" s="23">
        <f t="array" ref="AL51">IFERROR(INDEX($B$119:$B$131,SMALL(IF(INDEX($C$119:$R$131,0,MATCH($U$51,$C$118:$R$118,0))=1,ROW($B$119:$B$131)-ROW($B$119)+1),12)),"")</f>
      </c>
      <c r="AM51" s="23">
        <f t="array" ref="AM51">IFERROR(INDEX($B$119:$B$131,SMALL(IF(INDEX($C$119:$R$131,0,MATCH($U$51,$C$118:$R$118,0))=1,ROW($B$119:$B$131)-ROW($B$119)+1),13)),"")</f>
      </c>
    </row>
    <row r="52">
      <c r="A52" t="s" s="21">
        <v>128</v>
      </c>
      <c r="B52" t="s" s="21">
        <v>127</v>
      </c>
      <c r="C52" t="s" s="21">
        <v>107</v>
      </c>
      <c r="D52" t="s" s="20">
        <v>108</v>
      </c>
      <c r="E52" t="s" s="20">
        <v>109</v>
      </c>
      <c r="F52" t="s" s="20">
        <v>110</v>
      </c>
      <c r="G52" t="s" s="20">
        <v>111</v>
      </c>
      <c r="H52" t="s" s="20">
        <v>112</v>
      </c>
      <c r="I52" t="s" s="20">
        <v>113</v>
      </c>
      <c r="J52" t="s" s="20">
        <v>114</v>
      </c>
      <c r="K52" t="s" s="20">
        <v>109</v>
      </c>
      <c r="U52" s="23">
        <f>IF($A$52="","",$A$52&amp;"|"&amp;$B$52&amp;"|"&amp;$C$52)</f>
      </c>
      <c r="V52" s="23">
        <f>COUNTA($F$52:$K$52)</f>
      </c>
      <c r="W52" s="23">
        <f>IF($D$52="","OK",IFERROR(UPPER(INDIRECT("'Famille - "&amp;$D$52&amp;"'!"&amp;ADDRESS(10,(2+IF($A$52="Paire",0,1)*8+(MATCH($B$52,{"Lundi","Mardi","Jeudi","Vendredi"},0)-1)*2+IF($C$52="Matin",0,1))))),"OK"))</f>
      </c>
      <c r="X52" s="23">
        <f>IF($D$52="",0,IFERROR(INDIRECT("'Famille - "&amp;$D$52&amp;"'!"&amp;"$B$5"),0))</f>
      </c>
      <c r="Y52" s="23">
        <f>IF($V$52&gt;$X$52,$V$52-$X$52,0)</f>
      </c>
      <c r="Z52" s="23">
        <f>","&amp;_xlfn.TEXTJOIN(",",TRUE,$F$52:$K$52)&amp;","</f>
      </c>
      <c r="AA52" s="23">
        <f t="array" ref="AA52">IFERROR(INDEX($B$119:$B$131,SMALL(IF(INDEX($C$119:$R$131,0,MATCH($U$52,$C$118:$R$118,0))=1,ROW($B$119:$B$131)-ROW($B$119)+1),1)),"")</f>
      </c>
      <c r="AB52" s="23">
        <f t="array" ref="AB52">IFERROR(INDEX($B$119:$B$131,SMALL(IF(INDEX($C$119:$R$131,0,MATCH($U$52,$C$118:$R$118,0))=1,ROW($B$119:$B$131)-ROW($B$119)+1),2)),"")</f>
      </c>
      <c r="AC52" s="23">
        <f t="array" ref="AC52">IFERROR(INDEX($B$119:$B$131,SMALL(IF(INDEX($C$119:$R$131,0,MATCH($U$52,$C$118:$R$118,0))=1,ROW($B$119:$B$131)-ROW($B$119)+1),3)),"")</f>
      </c>
      <c r="AD52" s="23">
        <f t="array" ref="AD52">IFERROR(INDEX($B$119:$B$131,SMALL(IF(INDEX($C$119:$R$131,0,MATCH($U$52,$C$118:$R$118,0))=1,ROW($B$119:$B$131)-ROW($B$119)+1),4)),"")</f>
      </c>
      <c r="AE52" s="23">
        <f t="array" ref="AE52">IFERROR(INDEX($B$119:$B$131,SMALL(IF(INDEX($C$119:$R$131,0,MATCH($U$52,$C$118:$R$118,0))=1,ROW($B$119:$B$131)-ROW($B$119)+1),5)),"")</f>
      </c>
      <c r="AF52" s="23">
        <f t="array" ref="AF52">IFERROR(INDEX($B$119:$B$131,SMALL(IF(INDEX($C$119:$R$131,0,MATCH($U$52,$C$118:$R$118,0))=1,ROW($B$119:$B$131)-ROW($B$119)+1),6)),"")</f>
      </c>
      <c r="AG52" s="23">
        <f t="array" ref="AG52">IFERROR(INDEX($B$119:$B$131,SMALL(IF(INDEX($C$119:$R$131,0,MATCH($U$52,$C$118:$R$118,0))=1,ROW($B$119:$B$131)-ROW($B$119)+1),7)),"")</f>
      </c>
      <c r="AH52" s="23">
        <f t="array" ref="AH52">IFERROR(INDEX($B$119:$B$131,SMALL(IF(INDEX($C$119:$R$131,0,MATCH($U$52,$C$118:$R$118,0))=1,ROW($B$119:$B$131)-ROW($B$119)+1),8)),"")</f>
      </c>
      <c r="AI52" s="23">
        <f t="array" ref="AI52">IFERROR(INDEX($B$119:$B$131,SMALL(IF(INDEX($C$119:$R$131,0,MATCH($U$52,$C$118:$R$118,0))=1,ROW($B$119:$B$131)-ROW($B$119)+1),9)),"")</f>
      </c>
      <c r="AJ52" s="23">
        <f t="array" ref="AJ52">IFERROR(INDEX($B$119:$B$131,SMALL(IF(INDEX($C$119:$R$131,0,MATCH($U$52,$C$118:$R$118,0))=1,ROW($B$119:$B$131)-ROW($B$119)+1),10)),"")</f>
      </c>
      <c r="AK52" s="23">
        <f t="array" ref="AK52">IFERROR(INDEX($B$119:$B$131,SMALL(IF(INDEX($C$119:$R$131,0,MATCH($U$52,$C$118:$R$118,0))=1,ROW($B$119:$B$131)-ROW($B$119)+1),11)),"")</f>
      </c>
      <c r="AL52" s="23">
        <f t="array" ref="AL52">IFERROR(INDEX($B$119:$B$131,SMALL(IF(INDEX($C$119:$R$131,0,MATCH($U$52,$C$118:$R$118,0))=1,ROW($B$119:$B$131)-ROW($B$119)+1),12)),"")</f>
      </c>
      <c r="AM52" s="23">
        <f t="array" ref="AM52">IFERROR(INDEX($B$119:$B$131,SMALL(IF(INDEX($C$119:$R$131,0,MATCH($U$52,$C$118:$R$118,0))=1,ROW($B$119:$B$131)-ROW($B$119)+1),13)),"")</f>
      </c>
    </row>
    <row r="53">
      <c r="A53" t="s" s="21">
        <v>128</v>
      </c>
      <c r="B53" t="s" s="21">
        <v>127</v>
      </c>
      <c r="C53" t="s" s="21">
        <v>107</v>
      </c>
      <c r="D53" t="s" s="20">
        <v>120</v>
      </c>
      <c r="E53" t="s" s="20">
        <v>109</v>
      </c>
      <c r="F53" t="s" s="20">
        <v>120</v>
      </c>
      <c r="G53" t="s" s="20">
        <v>119</v>
      </c>
      <c r="H53" t="s" s="20">
        <v>121</v>
      </c>
      <c r="I53" t="s" s="20">
        <v>109</v>
      </c>
      <c r="J53" t="s" s="20">
        <v>109</v>
      </c>
      <c r="K53" t="s" s="20">
        <v>109</v>
      </c>
      <c r="U53" s="23">
        <f>IF($A$53="","",$A$53&amp;"|"&amp;$B$53&amp;"|"&amp;$C$53)</f>
      </c>
      <c r="V53" s="23">
        <f>COUNTA($F$53:$K$53)</f>
      </c>
      <c r="W53" s="23">
        <f>IF($D$53="","OK",IFERROR(UPPER(INDIRECT("'Famille - "&amp;$D$53&amp;"'!"&amp;ADDRESS(10,(2+IF($A$53="Paire",0,1)*8+(MATCH($B$53,{"Lundi","Mardi","Jeudi","Vendredi"},0)-1)*2+IF($C$53="Matin",0,1))))),"OK"))</f>
      </c>
      <c r="X53" s="23">
        <f>IF($D$53="",0,IFERROR(INDIRECT("'Famille - "&amp;$D$53&amp;"'!"&amp;"$B$5"),0))</f>
      </c>
      <c r="Y53" s="23">
        <f>IF($V$53&gt;$X$53,$V$53-$X$53,0)</f>
      </c>
      <c r="Z53" s="23">
        <f>","&amp;_xlfn.TEXTJOIN(",",TRUE,$F$53:$K$53)&amp;","</f>
      </c>
      <c r="AA53" s="23">
        <f t="array" ref="AA53">IFERROR(INDEX($B$119:$B$131,SMALL(IF(INDEX($C$119:$R$131,0,MATCH($U$53,$C$118:$R$118,0))=1,ROW($B$119:$B$131)-ROW($B$119)+1),1)),"")</f>
      </c>
      <c r="AB53" s="23">
        <f t="array" ref="AB53">IFERROR(INDEX($B$119:$B$131,SMALL(IF(INDEX($C$119:$R$131,0,MATCH($U$53,$C$118:$R$118,0))=1,ROW($B$119:$B$131)-ROW($B$119)+1),2)),"")</f>
      </c>
      <c r="AC53" s="23">
        <f t="array" ref="AC53">IFERROR(INDEX($B$119:$B$131,SMALL(IF(INDEX($C$119:$R$131,0,MATCH($U$53,$C$118:$R$118,0))=1,ROW($B$119:$B$131)-ROW($B$119)+1),3)),"")</f>
      </c>
      <c r="AD53" s="23">
        <f t="array" ref="AD53">IFERROR(INDEX($B$119:$B$131,SMALL(IF(INDEX($C$119:$R$131,0,MATCH($U$53,$C$118:$R$118,0))=1,ROW($B$119:$B$131)-ROW($B$119)+1),4)),"")</f>
      </c>
      <c r="AE53" s="23">
        <f t="array" ref="AE53">IFERROR(INDEX($B$119:$B$131,SMALL(IF(INDEX($C$119:$R$131,0,MATCH($U$53,$C$118:$R$118,0))=1,ROW($B$119:$B$131)-ROW($B$119)+1),5)),"")</f>
      </c>
      <c r="AF53" s="23">
        <f t="array" ref="AF53">IFERROR(INDEX($B$119:$B$131,SMALL(IF(INDEX($C$119:$R$131,0,MATCH($U$53,$C$118:$R$118,0))=1,ROW($B$119:$B$131)-ROW($B$119)+1),6)),"")</f>
      </c>
      <c r="AG53" s="23">
        <f t="array" ref="AG53">IFERROR(INDEX($B$119:$B$131,SMALL(IF(INDEX($C$119:$R$131,0,MATCH($U$53,$C$118:$R$118,0))=1,ROW($B$119:$B$131)-ROW($B$119)+1),7)),"")</f>
      </c>
      <c r="AH53" s="23">
        <f t="array" ref="AH53">IFERROR(INDEX($B$119:$B$131,SMALL(IF(INDEX($C$119:$R$131,0,MATCH($U$53,$C$118:$R$118,0))=1,ROW($B$119:$B$131)-ROW($B$119)+1),8)),"")</f>
      </c>
      <c r="AI53" s="23">
        <f t="array" ref="AI53">IFERROR(INDEX($B$119:$B$131,SMALL(IF(INDEX($C$119:$R$131,0,MATCH($U$53,$C$118:$R$118,0))=1,ROW($B$119:$B$131)-ROW($B$119)+1),9)),"")</f>
      </c>
      <c r="AJ53" s="23">
        <f t="array" ref="AJ53">IFERROR(INDEX($B$119:$B$131,SMALL(IF(INDEX($C$119:$R$131,0,MATCH($U$53,$C$118:$R$118,0))=1,ROW($B$119:$B$131)-ROW($B$119)+1),10)),"")</f>
      </c>
      <c r="AK53" s="23">
        <f t="array" ref="AK53">IFERROR(INDEX($B$119:$B$131,SMALL(IF(INDEX($C$119:$R$131,0,MATCH($U$53,$C$118:$R$118,0))=1,ROW($B$119:$B$131)-ROW($B$119)+1),11)),"")</f>
      </c>
      <c r="AL53" s="23">
        <f t="array" ref="AL53">IFERROR(INDEX($B$119:$B$131,SMALL(IF(INDEX($C$119:$R$131,0,MATCH($U$53,$C$118:$R$118,0))=1,ROW($B$119:$B$131)-ROW($B$119)+1),12)),"")</f>
      </c>
      <c r="AM53" s="23">
        <f t="array" ref="AM53">IFERROR(INDEX($B$119:$B$131,SMALL(IF(INDEX($C$119:$R$131,0,MATCH($U$53,$C$118:$R$118,0))=1,ROW($B$119:$B$131)-ROW($B$119)+1),13)),"")</f>
      </c>
    </row>
    <row r="54">
      <c r="A54" t="s" s="21">
        <v>128</v>
      </c>
      <c r="B54" t="s" s="21">
        <v>127</v>
      </c>
      <c r="C54" t="s" s="21">
        <v>107</v>
      </c>
      <c r="D54" t="s" s="20">
        <v>118</v>
      </c>
      <c r="E54" t="s" s="20">
        <v>109</v>
      </c>
      <c r="F54" t="s" s="20">
        <v>118</v>
      </c>
      <c r="G54" t="s" s="20">
        <v>122</v>
      </c>
      <c r="H54" t="s" s="20">
        <v>116</v>
      </c>
      <c r="I54" t="s" s="20">
        <v>117</v>
      </c>
      <c r="J54" t="s" s="20">
        <v>109</v>
      </c>
      <c r="K54" t="s" s="20">
        <v>109</v>
      </c>
      <c r="U54" s="23">
        <f>IF($A$54="","",$A$54&amp;"|"&amp;$B$54&amp;"|"&amp;$C$54)</f>
      </c>
      <c r="V54" s="23">
        <f>COUNTA($F$54:$K$54)</f>
      </c>
      <c r="W54" s="23">
        <f>IF($D$54="","OK",IFERROR(UPPER(INDIRECT("'Famille - "&amp;$D$54&amp;"'!"&amp;ADDRESS(10,(2+IF($A$54="Paire",0,1)*8+(MATCH($B$54,{"Lundi","Mardi","Jeudi","Vendredi"},0)-1)*2+IF($C$54="Matin",0,1))))),"OK"))</f>
      </c>
      <c r="X54" s="23">
        <f>IF($D$54="",0,IFERROR(INDIRECT("'Famille - "&amp;$D$54&amp;"'!"&amp;"$B$5"),0))</f>
      </c>
      <c r="Y54" s="23">
        <f>IF($V$54&gt;$X$54,$V$54-$X$54,0)</f>
      </c>
      <c r="Z54" s="23">
        <f>","&amp;_xlfn.TEXTJOIN(",",TRUE,$F$54:$K$54)&amp;","</f>
      </c>
      <c r="AA54" s="23">
        <f t="array" ref="AA54">IFERROR(INDEX($B$119:$B$131,SMALL(IF(INDEX($C$119:$R$131,0,MATCH($U$54,$C$118:$R$118,0))=1,ROW($B$119:$B$131)-ROW($B$119)+1),1)),"")</f>
      </c>
      <c r="AB54" s="23">
        <f t="array" ref="AB54">IFERROR(INDEX($B$119:$B$131,SMALL(IF(INDEX($C$119:$R$131,0,MATCH($U$54,$C$118:$R$118,0))=1,ROW($B$119:$B$131)-ROW($B$119)+1),2)),"")</f>
      </c>
      <c r="AC54" s="23">
        <f t="array" ref="AC54">IFERROR(INDEX($B$119:$B$131,SMALL(IF(INDEX($C$119:$R$131,0,MATCH($U$54,$C$118:$R$118,0))=1,ROW($B$119:$B$131)-ROW($B$119)+1),3)),"")</f>
      </c>
      <c r="AD54" s="23">
        <f t="array" ref="AD54">IFERROR(INDEX($B$119:$B$131,SMALL(IF(INDEX($C$119:$R$131,0,MATCH($U$54,$C$118:$R$118,0))=1,ROW($B$119:$B$131)-ROW($B$119)+1),4)),"")</f>
      </c>
      <c r="AE54" s="23">
        <f t="array" ref="AE54">IFERROR(INDEX($B$119:$B$131,SMALL(IF(INDEX($C$119:$R$131,0,MATCH($U$54,$C$118:$R$118,0))=1,ROW($B$119:$B$131)-ROW($B$119)+1),5)),"")</f>
      </c>
      <c r="AF54" s="23">
        <f t="array" ref="AF54">IFERROR(INDEX($B$119:$B$131,SMALL(IF(INDEX($C$119:$R$131,0,MATCH($U$54,$C$118:$R$118,0))=1,ROW($B$119:$B$131)-ROW($B$119)+1),6)),"")</f>
      </c>
      <c r="AG54" s="23">
        <f t="array" ref="AG54">IFERROR(INDEX($B$119:$B$131,SMALL(IF(INDEX($C$119:$R$131,0,MATCH($U$54,$C$118:$R$118,0))=1,ROW($B$119:$B$131)-ROW($B$119)+1),7)),"")</f>
      </c>
      <c r="AH54" s="23">
        <f t="array" ref="AH54">IFERROR(INDEX($B$119:$B$131,SMALL(IF(INDEX($C$119:$R$131,0,MATCH($U$54,$C$118:$R$118,0))=1,ROW($B$119:$B$131)-ROW($B$119)+1),8)),"")</f>
      </c>
      <c r="AI54" s="23">
        <f t="array" ref="AI54">IFERROR(INDEX($B$119:$B$131,SMALL(IF(INDEX($C$119:$R$131,0,MATCH($U$54,$C$118:$R$118,0))=1,ROW($B$119:$B$131)-ROW($B$119)+1),9)),"")</f>
      </c>
      <c r="AJ54" s="23">
        <f t="array" ref="AJ54">IFERROR(INDEX($B$119:$B$131,SMALL(IF(INDEX($C$119:$R$131,0,MATCH($U$54,$C$118:$R$118,0))=1,ROW($B$119:$B$131)-ROW($B$119)+1),10)),"")</f>
      </c>
      <c r="AK54" s="23">
        <f t="array" ref="AK54">IFERROR(INDEX($B$119:$B$131,SMALL(IF(INDEX($C$119:$R$131,0,MATCH($U$54,$C$118:$R$118,0))=1,ROW($B$119:$B$131)-ROW($B$119)+1),11)),"")</f>
      </c>
      <c r="AL54" s="23">
        <f t="array" ref="AL54">IFERROR(INDEX($B$119:$B$131,SMALL(IF(INDEX($C$119:$R$131,0,MATCH($U$54,$C$118:$R$118,0))=1,ROW($B$119:$B$131)-ROW($B$119)+1),12)),"")</f>
      </c>
      <c r="AM54" s="23">
        <f t="array" ref="AM54">IFERROR(INDEX($B$119:$B$131,SMALL(IF(INDEX($C$119:$R$131,0,MATCH($U$54,$C$118:$R$118,0))=1,ROW($B$119:$B$131)-ROW($B$119)+1),13)),"")</f>
      </c>
    </row>
    <row r="55">
      <c r="A55" t="s" s="21">
        <v>128</v>
      </c>
      <c r="B55" t="s" s="21">
        <v>127</v>
      </c>
      <c r="C55" t="s" s="21">
        <v>123</v>
      </c>
      <c r="D55" t="s" s="20">
        <v>120</v>
      </c>
      <c r="E55" t="s" s="20">
        <v>109</v>
      </c>
      <c r="F55" t="s" s="20">
        <v>120</v>
      </c>
      <c r="G55" t="s" s="20">
        <v>113</v>
      </c>
      <c r="H55" t="s" s="20">
        <v>114</v>
      </c>
      <c r="I55" t="s" s="20">
        <v>109</v>
      </c>
      <c r="J55" t="s" s="20">
        <v>109</v>
      </c>
      <c r="K55" t="s" s="20">
        <v>109</v>
      </c>
      <c r="U55" s="23">
        <f>IF($A$55="","",$A$55&amp;"|"&amp;$B$55&amp;"|"&amp;$C$55)</f>
      </c>
      <c r="V55" s="23">
        <f>COUNTA($F$55:$K$55)</f>
      </c>
      <c r="W55" s="23">
        <f>IF($D$55="","OK",IFERROR(UPPER(INDIRECT("'Famille - "&amp;$D$55&amp;"'!"&amp;ADDRESS(10,(2+IF($A$55="Paire",0,1)*8+(MATCH($B$55,{"Lundi","Mardi","Jeudi","Vendredi"},0)-1)*2+IF($C$55="Matin",0,1))))),"OK"))</f>
      </c>
      <c r="X55" s="23">
        <f>IF($D$55="",0,IFERROR(INDIRECT("'Famille - "&amp;$D$55&amp;"'!"&amp;"$B$5"),0))</f>
      </c>
      <c r="Y55" s="23">
        <f>IF($V$55&gt;$X$55,$V$55-$X$55,0)</f>
      </c>
      <c r="Z55" s="23">
        <f>","&amp;_xlfn.TEXTJOIN(",",TRUE,$F$55:$K$55)&amp;","</f>
      </c>
      <c r="AA55" s="23">
        <f t="array" ref="AA55">IFERROR(INDEX($B$119:$B$131,SMALL(IF(INDEX($C$119:$R$131,0,MATCH($U$55,$C$118:$R$118,0))=1,ROW($B$119:$B$131)-ROW($B$119)+1),1)),"")</f>
      </c>
      <c r="AB55" s="23">
        <f t="array" ref="AB55">IFERROR(INDEX($B$119:$B$131,SMALL(IF(INDEX($C$119:$R$131,0,MATCH($U$55,$C$118:$R$118,0))=1,ROW($B$119:$B$131)-ROW($B$119)+1),2)),"")</f>
      </c>
      <c r="AC55" s="23">
        <f t="array" ref="AC55">IFERROR(INDEX($B$119:$B$131,SMALL(IF(INDEX($C$119:$R$131,0,MATCH($U$55,$C$118:$R$118,0))=1,ROW($B$119:$B$131)-ROW($B$119)+1),3)),"")</f>
      </c>
      <c r="AD55" s="23">
        <f t="array" ref="AD55">IFERROR(INDEX($B$119:$B$131,SMALL(IF(INDEX($C$119:$R$131,0,MATCH($U$55,$C$118:$R$118,0))=1,ROW($B$119:$B$131)-ROW($B$119)+1),4)),"")</f>
      </c>
      <c r="AE55" s="23">
        <f t="array" ref="AE55">IFERROR(INDEX($B$119:$B$131,SMALL(IF(INDEX($C$119:$R$131,0,MATCH($U$55,$C$118:$R$118,0))=1,ROW($B$119:$B$131)-ROW($B$119)+1),5)),"")</f>
      </c>
      <c r="AF55" s="23">
        <f t="array" ref="AF55">IFERROR(INDEX($B$119:$B$131,SMALL(IF(INDEX($C$119:$R$131,0,MATCH($U$55,$C$118:$R$118,0))=1,ROW($B$119:$B$131)-ROW($B$119)+1),6)),"")</f>
      </c>
      <c r="AG55" s="23">
        <f t="array" ref="AG55">IFERROR(INDEX($B$119:$B$131,SMALL(IF(INDEX($C$119:$R$131,0,MATCH($U$55,$C$118:$R$118,0))=1,ROW($B$119:$B$131)-ROW($B$119)+1),7)),"")</f>
      </c>
      <c r="AH55" s="23">
        <f t="array" ref="AH55">IFERROR(INDEX($B$119:$B$131,SMALL(IF(INDEX($C$119:$R$131,0,MATCH($U$55,$C$118:$R$118,0))=1,ROW($B$119:$B$131)-ROW($B$119)+1),8)),"")</f>
      </c>
      <c r="AI55" s="23">
        <f t="array" ref="AI55">IFERROR(INDEX($B$119:$B$131,SMALL(IF(INDEX($C$119:$R$131,0,MATCH($U$55,$C$118:$R$118,0))=1,ROW($B$119:$B$131)-ROW($B$119)+1),9)),"")</f>
      </c>
      <c r="AJ55" s="23">
        <f t="array" ref="AJ55">IFERROR(INDEX($B$119:$B$131,SMALL(IF(INDEX($C$119:$R$131,0,MATCH($U$55,$C$118:$R$118,0))=1,ROW($B$119:$B$131)-ROW($B$119)+1),10)),"")</f>
      </c>
      <c r="AK55" s="23">
        <f t="array" ref="AK55">IFERROR(INDEX($B$119:$B$131,SMALL(IF(INDEX($C$119:$R$131,0,MATCH($U$55,$C$118:$R$118,0))=1,ROW($B$119:$B$131)-ROW($B$119)+1),11)),"")</f>
      </c>
      <c r="AL55" s="23">
        <f t="array" ref="AL55">IFERROR(INDEX($B$119:$B$131,SMALL(IF(INDEX($C$119:$R$131,0,MATCH($U$55,$C$118:$R$118,0))=1,ROW($B$119:$B$131)-ROW($B$119)+1),12)),"")</f>
      </c>
      <c r="AM55" s="23">
        <f t="array" ref="AM55">IFERROR(INDEX($B$119:$B$131,SMALL(IF(INDEX($C$119:$R$131,0,MATCH($U$55,$C$118:$R$118,0))=1,ROW($B$119:$B$131)-ROW($B$119)+1),13)),"")</f>
      </c>
    </row>
    <row r="56">
      <c r="A56" t="s" s="21">
        <v>128</v>
      </c>
      <c r="B56" t="s" s="21">
        <v>127</v>
      </c>
      <c r="C56" t="s" s="21">
        <v>123</v>
      </c>
      <c r="D56" t="s" s="20">
        <v>115</v>
      </c>
      <c r="E56" t="s" s="20">
        <v>109</v>
      </c>
      <c r="F56" t="s" s="20">
        <v>116</v>
      </c>
      <c r="G56" t="s" s="20">
        <v>117</v>
      </c>
      <c r="H56" t="s" s="20">
        <v>118</v>
      </c>
      <c r="I56" t="s" s="20">
        <v>110</v>
      </c>
      <c r="J56" t="s" s="20">
        <v>109</v>
      </c>
      <c r="K56" t="s" s="20">
        <v>109</v>
      </c>
      <c r="U56" s="23">
        <f>IF($A$56="","",$A$56&amp;"|"&amp;$B$56&amp;"|"&amp;$C$56)</f>
      </c>
      <c r="V56" s="23">
        <f>COUNTA($F$56:$K$56)</f>
      </c>
      <c r="W56" s="23">
        <f>IF($D$56="","OK",IFERROR(UPPER(INDIRECT("'Famille - "&amp;$D$56&amp;"'!"&amp;ADDRESS(10,(2+IF($A$56="Paire",0,1)*8+(MATCH($B$56,{"Lundi","Mardi","Jeudi","Vendredi"},0)-1)*2+IF($C$56="Matin",0,1))))),"OK"))</f>
      </c>
      <c r="X56" s="23">
        <f>IF($D$56="",0,IFERROR(INDIRECT("'Famille - "&amp;$D$56&amp;"'!"&amp;"$B$5"),0))</f>
      </c>
      <c r="Y56" s="23">
        <f>IF($V$56&gt;$X$56,$V$56-$X$56,0)</f>
      </c>
      <c r="Z56" s="23">
        <f>","&amp;_xlfn.TEXTJOIN(",",TRUE,$F$56:$K$56)&amp;","</f>
      </c>
      <c r="AA56" s="23">
        <f t="array" ref="AA56">IFERROR(INDEX($B$119:$B$131,SMALL(IF(INDEX($C$119:$R$131,0,MATCH($U$56,$C$118:$R$118,0))=1,ROW($B$119:$B$131)-ROW($B$119)+1),1)),"")</f>
      </c>
      <c r="AB56" s="23">
        <f t="array" ref="AB56">IFERROR(INDEX($B$119:$B$131,SMALL(IF(INDEX($C$119:$R$131,0,MATCH($U$56,$C$118:$R$118,0))=1,ROW($B$119:$B$131)-ROW($B$119)+1),2)),"")</f>
      </c>
      <c r="AC56" s="23">
        <f t="array" ref="AC56">IFERROR(INDEX($B$119:$B$131,SMALL(IF(INDEX($C$119:$R$131,0,MATCH($U$56,$C$118:$R$118,0))=1,ROW($B$119:$B$131)-ROW($B$119)+1),3)),"")</f>
      </c>
      <c r="AD56" s="23">
        <f t="array" ref="AD56">IFERROR(INDEX($B$119:$B$131,SMALL(IF(INDEX($C$119:$R$131,0,MATCH($U$56,$C$118:$R$118,0))=1,ROW($B$119:$B$131)-ROW($B$119)+1),4)),"")</f>
      </c>
      <c r="AE56" s="23">
        <f t="array" ref="AE56">IFERROR(INDEX($B$119:$B$131,SMALL(IF(INDEX($C$119:$R$131,0,MATCH($U$56,$C$118:$R$118,0))=1,ROW($B$119:$B$131)-ROW($B$119)+1),5)),"")</f>
      </c>
      <c r="AF56" s="23">
        <f t="array" ref="AF56">IFERROR(INDEX($B$119:$B$131,SMALL(IF(INDEX($C$119:$R$131,0,MATCH($U$56,$C$118:$R$118,0))=1,ROW($B$119:$B$131)-ROW($B$119)+1),6)),"")</f>
      </c>
      <c r="AG56" s="23">
        <f t="array" ref="AG56">IFERROR(INDEX($B$119:$B$131,SMALL(IF(INDEX($C$119:$R$131,0,MATCH($U$56,$C$118:$R$118,0))=1,ROW($B$119:$B$131)-ROW($B$119)+1),7)),"")</f>
      </c>
      <c r="AH56" s="23">
        <f t="array" ref="AH56">IFERROR(INDEX($B$119:$B$131,SMALL(IF(INDEX($C$119:$R$131,0,MATCH($U$56,$C$118:$R$118,0))=1,ROW($B$119:$B$131)-ROW($B$119)+1),8)),"")</f>
      </c>
      <c r="AI56" s="23">
        <f t="array" ref="AI56">IFERROR(INDEX($B$119:$B$131,SMALL(IF(INDEX($C$119:$R$131,0,MATCH($U$56,$C$118:$R$118,0))=1,ROW($B$119:$B$131)-ROW($B$119)+1),9)),"")</f>
      </c>
      <c r="AJ56" s="23">
        <f t="array" ref="AJ56">IFERROR(INDEX($B$119:$B$131,SMALL(IF(INDEX($C$119:$R$131,0,MATCH($U$56,$C$118:$R$118,0))=1,ROW($B$119:$B$131)-ROW($B$119)+1),10)),"")</f>
      </c>
      <c r="AK56" s="23">
        <f t="array" ref="AK56">IFERROR(INDEX($B$119:$B$131,SMALL(IF(INDEX($C$119:$R$131,0,MATCH($U$56,$C$118:$R$118,0))=1,ROW($B$119:$B$131)-ROW($B$119)+1),11)),"")</f>
      </c>
      <c r="AL56" s="23">
        <f t="array" ref="AL56">IFERROR(INDEX($B$119:$B$131,SMALL(IF(INDEX($C$119:$R$131,0,MATCH($U$56,$C$118:$R$118,0))=1,ROW($B$119:$B$131)-ROW($B$119)+1),12)),"")</f>
      </c>
      <c r="AM56" s="23">
        <f t="array" ref="AM56">IFERROR(INDEX($B$119:$B$131,SMALL(IF(INDEX($C$119:$R$131,0,MATCH($U$56,$C$118:$R$118,0))=1,ROW($B$119:$B$131)-ROW($B$119)+1),13)),"")</f>
      </c>
    </row>
    <row r="57">
      <c r="A57" t="s" s="21">
        <v>128</v>
      </c>
      <c r="B57" t="s" s="21">
        <v>127</v>
      </c>
      <c r="C57" t="s" s="21">
        <v>123</v>
      </c>
      <c r="D57" t="s" s="20">
        <v>112</v>
      </c>
      <c r="E57" t="s" s="20">
        <v>109</v>
      </c>
      <c r="F57" t="s" s="20">
        <v>112</v>
      </c>
      <c r="G57" t="s" s="20">
        <v>111</v>
      </c>
      <c r="H57" t="s" s="20">
        <v>121</v>
      </c>
      <c r="I57" t="s" s="20">
        <v>109</v>
      </c>
      <c r="J57" t="s" s="20">
        <v>109</v>
      </c>
      <c r="K57" t="s" s="20">
        <v>109</v>
      </c>
      <c r="U57" s="23">
        <f>IF($A$57="","",$A$57&amp;"|"&amp;$B$57&amp;"|"&amp;$C$57)</f>
      </c>
      <c r="V57" s="23">
        <f>COUNTA($F$57:$K$57)</f>
      </c>
      <c r="W57" s="23">
        <f>IF($D$57="","OK",IFERROR(UPPER(INDIRECT("'Famille - "&amp;$D$57&amp;"'!"&amp;ADDRESS(10,(2+IF($A$57="Paire",0,1)*8+(MATCH($B$57,{"Lundi","Mardi","Jeudi","Vendredi"},0)-1)*2+IF($C$57="Matin",0,1))))),"OK"))</f>
      </c>
      <c r="X57" s="23">
        <f>IF($D$57="",0,IFERROR(INDIRECT("'Famille - "&amp;$D$57&amp;"'!"&amp;"$B$5"),0))</f>
      </c>
      <c r="Y57" s="23">
        <f>IF($V$57&gt;$X$57,$V$57-$X$57,0)</f>
      </c>
      <c r="Z57" s="23">
        <f>","&amp;_xlfn.TEXTJOIN(",",TRUE,$F$57:$K$57)&amp;","</f>
      </c>
      <c r="AA57" s="23">
        <f t="array" ref="AA57">IFERROR(INDEX($B$119:$B$131,SMALL(IF(INDEX($C$119:$R$131,0,MATCH($U$57,$C$118:$R$118,0))=1,ROW($B$119:$B$131)-ROW($B$119)+1),1)),"")</f>
      </c>
      <c r="AB57" s="23">
        <f t="array" ref="AB57">IFERROR(INDEX($B$119:$B$131,SMALL(IF(INDEX($C$119:$R$131,0,MATCH($U$57,$C$118:$R$118,0))=1,ROW($B$119:$B$131)-ROW($B$119)+1),2)),"")</f>
      </c>
      <c r="AC57" s="23">
        <f t="array" ref="AC57">IFERROR(INDEX($B$119:$B$131,SMALL(IF(INDEX($C$119:$R$131,0,MATCH($U$57,$C$118:$R$118,0))=1,ROW($B$119:$B$131)-ROW($B$119)+1),3)),"")</f>
      </c>
      <c r="AD57" s="23">
        <f t="array" ref="AD57">IFERROR(INDEX($B$119:$B$131,SMALL(IF(INDEX($C$119:$R$131,0,MATCH($U$57,$C$118:$R$118,0))=1,ROW($B$119:$B$131)-ROW($B$119)+1),4)),"")</f>
      </c>
      <c r="AE57" s="23">
        <f t="array" ref="AE57">IFERROR(INDEX($B$119:$B$131,SMALL(IF(INDEX($C$119:$R$131,0,MATCH($U$57,$C$118:$R$118,0))=1,ROW($B$119:$B$131)-ROW($B$119)+1),5)),"")</f>
      </c>
      <c r="AF57" s="23">
        <f t="array" ref="AF57">IFERROR(INDEX($B$119:$B$131,SMALL(IF(INDEX($C$119:$R$131,0,MATCH($U$57,$C$118:$R$118,0))=1,ROW($B$119:$B$131)-ROW($B$119)+1),6)),"")</f>
      </c>
      <c r="AG57" s="23">
        <f t="array" ref="AG57">IFERROR(INDEX($B$119:$B$131,SMALL(IF(INDEX($C$119:$R$131,0,MATCH($U$57,$C$118:$R$118,0))=1,ROW($B$119:$B$131)-ROW($B$119)+1),7)),"")</f>
      </c>
      <c r="AH57" s="23">
        <f t="array" ref="AH57">IFERROR(INDEX($B$119:$B$131,SMALL(IF(INDEX($C$119:$R$131,0,MATCH($U$57,$C$118:$R$118,0))=1,ROW($B$119:$B$131)-ROW($B$119)+1),8)),"")</f>
      </c>
      <c r="AI57" s="23">
        <f t="array" ref="AI57">IFERROR(INDEX($B$119:$B$131,SMALL(IF(INDEX($C$119:$R$131,0,MATCH($U$57,$C$118:$R$118,0))=1,ROW($B$119:$B$131)-ROW($B$119)+1),9)),"")</f>
      </c>
      <c r="AJ57" s="23">
        <f t="array" ref="AJ57">IFERROR(INDEX($B$119:$B$131,SMALL(IF(INDEX($C$119:$R$131,0,MATCH($U$57,$C$118:$R$118,0))=1,ROW($B$119:$B$131)-ROW($B$119)+1),10)),"")</f>
      </c>
      <c r="AK57" s="23">
        <f t="array" ref="AK57">IFERROR(INDEX($B$119:$B$131,SMALL(IF(INDEX($C$119:$R$131,0,MATCH($U$57,$C$118:$R$118,0))=1,ROW($B$119:$B$131)-ROW($B$119)+1),11)),"")</f>
      </c>
      <c r="AL57" s="23">
        <f t="array" ref="AL57">IFERROR(INDEX($B$119:$B$131,SMALL(IF(INDEX($C$119:$R$131,0,MATCH($U$57,$C$118:$R$118,0))=1,ROW($B$119:$B$131)-ROW($B$119)+1),12)),"")</f>
      </c>
      <c r="AM57" s="23">
        <f t="array" ref="AM57">IFERROR(INDEX($B$119:$B$131,SMALL(IF(INDEX($C$119:$R$131,0,MATCH($U$57,$C$118:$R$118,0))=1,ROW($B$119:$B$131)-ROW($B$119)+1),13)),"")</f>
      </c>
    </row>
    <row r="58">
      <c r="A58" t="s" s="21">
        <v>128</v>
      </c>
      <c r="B58" t="s" s="21">
        <v>127</v>
      </c>
      <c r="C58" t="s" s="21">
        <v>123</v>
      </c>
      <c r="D58" t="s" s="20">
        <v>119</v>
      </c>
      <c r="E58" t="s" s="20">
        <v>109</v>
      </c>
      <c r="F58" t="s" s="20">
        <v>119</v>
      </c>
      <c r="G58" t="s" s="20">
        <v>122</v>
      </c>
      <c r="H58" t="s" s="20">
        <v>109</v>
      </c>
      <c r="I58" t="s" s="20">
        <v>109</v>
      </c>
      <c r="J58" t="s" s="20">
        <v>109</v>
      </c>
      <c r="K58" t="s" s="20">
        <v>109</v>
      </c>
      <c r="U58" s="23">
        <f>IF($A$58="","",$A$58&amp;"|"&amp;$B$58&amp;"|"&amp;$C$58)</f>
      </c>
      <c r="V58" s="23">
        <f>COUNTA($F$58:$K$58)</f>
      </c>
      <c r="W58" s="23">
        <f>IF($D$58="","OK",IFERROR(UPPER(INDIRECT("'Famille - "&amp;$D$58&amp;"'!"&amp;ADDRESS(10,(2+IF($A$58="Paire",0,1)*8+(MATCH($B$58,{"Lundi","Mardi","Jeudi","Vendredi"},0)-1)*2+IF($C$58="Matin",0,1))))),"OK"))</f>
      </c>
      <c r="X58" s="23">
        <f>IF($D$58="",0,IFERROR(INDIRECT("'Famille - "&amp;$D$58&amp;"'!"&amp;"$B$5"),0))</f>
      </c>
      <c r="Y58" s="23">
        <f>IF($V$58&gt;$X$58,$V$58-$X$58,0)</f>
      </c>
      <c r="Z58" s="23">
        <f>","&amp;_xlfn.TEXTJOIN(",",TRUE,$F$58:$K$58)&amp;","</f>
      </c>
      <c r="AA58" s="23">
        <f t="array" ref="AA58">IFERROR(INDEX($B$119:$B$131,SMALL(IF(INDEX($C$119:$R$131,0,MATCH($U$58,$C$118:$R$118,0))=1,ROW($B$119:$B$131)-ROW($B$119)+1),1)),"")</f>
      </c>
      <c r="AB58" s="23">
        <f t="array" ref="AB58">IFERROR(INDEX($B$119:$B$131,SMALL(IF(INDEX($C$119:$R$131,0,MATCH($U$58,$C$118:$R$118,0))=1,ROW($B$119:$B$131)-ROW($B$119)+1),2)),"")</f>
      </c>
      <c r="AC58" s="23">
        <f t="array" ref="AC58">IFERROR(INDEX($B$119:$B$131,SMALL(IF(INDEX($C$119:$R$131,0,MATCH($U$58,$C$118:$R$118,0))=1,ROW($B$119:$B$131)-ROW($B$119)+1),3)),"")</f>
      </c>
      <c r="AD58" s="23">
        <f t="array" ref="AD58">IFERROR(INDEX($B$119:$B$131,SMALL(IF(INDEX($C$119:$R$131,0,MATCH($U$58,$C$118:$R$118,0))=1,ROW($B$119:$B$131)-ROW($B$119)+1),4)),"")</f>
      </c>
      <c r="AE58" s="23">
        <f t="array" ref="AE58">IFERROR(INDEX($B$119:$B$131,SMALL(IF(INDEX($C$119:$R$131,0,MATCH($U$58,$C$118:$R$118,0))=1,ROW($B$119:$B$131)-ROW($B$119)+1),5)),"")</f>
      </c>
      <c r="AF58" s="23">
        <f t="array" ref="AF58">IFERROR(INDEX($B$119:$B$131,SMALL(IF(INDEX($C$119:$R$131,0,MATCH($U$58,$C$118:$R$118,0))=1,ROW($B$119:$B$131)-ROW($B$119)+1),6)),"")</f>
      </c>
      <c r="AG58" s="23">
        <f t="array" ref="AG58">IFERROR(INDEX($B$119:$B$131,SMALL(IF(INDEX($C$119:$R$131,0,MATCH($U$58,$C$118:$R$118,0))=1,ROW($B$119:$B$131)-ROW($B$119)+1),7)),"")</f>
      </c>
      <c r="AH58" s="23">
        <f t="array" ref="AH58">IFERROR(INDEX($B$119:$B$131,SMALL(IF(INDEX($C$119:$R$131,0,MATCH($U$58,$C$118:$R$118,0))=1,ROW($B$119:$B$131)-ROW($B$119)+1),8)),"")</f>
      </c>
      <c r="AI58" s="23">
        <f t="array" ref="AI58">IFERROR(INDEX($B$119:$B$131,SMALL(IF(INDEX($C$119:$R$131,0,MATCH($U$58,$C$118:$R$118,0))=1,ROW($B$119:$B$131)-ROW($B$119)+1),9)),"")</f>
      </c>
      <c r="AJ58" s="23">
        <f t="array" ref="AJ58">IFERROR(INDEX($B$119:$B$131,SMALL(IF(INDEX($C$119:$R$131,0,MATCH($U$58,$C$118:$R$118,0))=1,ROW($B$119:$B$131)-ROW($B$119)+1),10)),"")</f>
      </c>
      <c r="AK58" s="23">
        <f t="array" ref="AK58">IFERROR(INDEX($B$119:$B$131,SMALL(IF(INDEX($C$119:$R$131,0,MATCH($U$58,$C$118:$R$118,0))=1,ROW($B$119:$B$131)-ROW($B$119)+1),11)),"")</f>
      </c>
      <c r="AL58" s="23">
        <f t="array" ref="AL58">IFERROR(INDEX($B$119:$B$131,SMALL(IF(INDEX($C$119:$R$131,0,MATCH($U$58,$C$118:$R$118,0))=1,ROW($B$119:$B$131)-ROW($B$119)+1),12)),"")</f>
      </c>
      <c r="AM58" s="23">
        <f t="array" ref="AM58">IFERROR(INDEX($B$119:$B$131,SMALL(IF(INDEX($C$119:$R$131,0,MATCH($U$58,$C$118:$R$118,0))=1,ROW($B$119:$B$131)-ROW($B$119)+1),13)),"")</f>
      </c>
    </row>
    <row r="59">
      <c r="A59" t="s" s="21">
        <v>109</v>
      </c>
      <c r="B59" t="s" s="21">
        <v>109</v>
      </c>
      <c r="C59" t="s" s="21">
        <v>109</v>
      </c>
      <c r="D59" t="s" s="20">
        <v>109</v>
      </c>
      <c r="E59" t="s" s="20">
        <v>109</v>
      </c>
      <c r="F59" t="s" s="20">
        <v>109</v>
      </c>
      <c r="G59" t="s" s="20">
        <v>109</v>
      </c>
      <c r="H59" t="s" s="20">
        <v>109</v>
      </c>
      <c r="I59" t="s" s="20">
        <v>109</v>
      </c>
      <c r="J59" t="s" s="20">
        <v>109</v>
      </c>
      <c r="K59" t="s" s="20">
        <v>109</v>
      </c>
      <c r="U59" s="23">
        <f>IF($A$59="","",$A$59&amp;"|"&amp;$B$59&amp;"|"&amp;$C$59)</f>
      </c>
      <c r="V59" s="23">
        <f>COUNTA($F$59:$K$59)</f>
      </c>
      <c r="W59" s="23">
        <f>IF($D$59="","OK",IFERROR(UPPER(INDIRECT("'Famille - "&amp;$D$59&amp;"'!"&amp;ADDRESS(10,(2+IF($A$59="Paire",0,1)*8+(MATCH($B$59,{"Lundi","Mardi","Jeudi","Vendredi"},0)-1)*2+IF($C$59="Matin",0,1))))),"OK"))</f>
      </c>
      <c r="X59" s="23">
        <f>IF($D$59="",0,IFERROR(INDIRECT("'Famille - "&amp;$D$59&amp;"'!"&amp;"$B$5"),0))</f>
      </c>
      <c r="Y59" s="23">
        <f>IF($V$59&gt;$X$59,$V$59-$X$59,0)</f>
      </c>
      <c r="Z59" s="23">
        <f>","&amp;_xlfn.TEXTJOIN(",",TRUE,$F$59:$K$59)&amp;","</f>
      </c>
      <c r="AA59" s="23">
        <f t="array" ref="AA59">IFERROR(INDEX($B$119:$B$131,SMALL(IF(INDEX($C$119:$R$131,0,MATCH($U$59,$C$118:$R$118,0))=1,ROW($B$119:$B$131)-ROW($B$119)+1),1)),"")</f>
      </c>
      <c r="AB59" s="23">
        <f t="array" ref="AB59">IFERROR(INDEX($B$119:$B$131,SMALL(IF(INDEX($C$119:$R$131,0,MATCH($U$59,$C$118:$R$118,0))=1,ROW($B$119:$B$131)-ROW($B$119)+1),2)),"")</f>
      </c>
      <c r="AC59" s="23">
        <f t="array" ref="AC59">IFERROR(INDEX($B$119:$B$131,SMALL(IF(INDEX($C$119:$R$131,0,MATCH($U$59,$C$118:$R$118,0))=1,ROW($B$119:$B$131)-ROW($B$119)+1),3)),"")</f>
      </c>
      <c r="AD59" s="23">
        <f t="array" ref="AD59">IFERROR(INDEX($B$119:$B$131,SMALL(IF(INDEX($C$119:$R$131,0,MATCH($U$59,$C$118:$R$118,0))=1,ROW($B$119:$B$131)-ROW($B$119)+1),4)),"")</f>
      </c>
      <c r="AE59" s="23">
        <f t="array" ref="AE59">IFERROR(INDEX($B$119:$B$131,SMALL(IF(INDEX($C$119:$R$131,0,MATCH($U$59,$C$118:$R$118,0))=1,ROW($B$119:$B$131)-ROW($B$119)+1),5)),"")</f>
      </c>
      <c r="AF59" s="23">
        <f t="array" ref="AF59">IFERROR(INDEX($B$119:$B$131,SMALL(IF(INDEX($C$119:$R$131,0,MATCH($U$59,$C$118:$R$118,0))=1,ROW($B$119:$B$131)-ROW($B$119)+1),6)),"")</f>
      </c>
      <c r="AG59" s="23">
        <f t="array" ref="AG59">IFERROR(INDEX($B$119:$B$131,SMALL(IF(INDEX($C$119:$R$131,0,MATCH($U$59,$C$118:$R$118,0))=1,ROW($B$119:$B$131)-ROW($B$119)+1),7)),"")</f>
      </c>
      <c r="AH59" s="23">
        <f t="array" ref="AH59">IFERROR(INDEX($B$119:$B$131,SMALL(IF(INDEX($C$119:$R$131,0,MATCH($U$59,$C$118:$R$118,0))=1,ROW($B$119:$B$131)-ROW($B$119)+1),8)),"")</f>
      </c>
      <c r="AI59" s="23">
        <f t="array" ref="AI59">IFERROR(INDEX($B$119:$B$131,SMALL(IF(INDEX($C$119:$R$131,0,MATCH($U$59,$C$118:$R$118,0))=1,ROW($B$119:$B$131)-ROW($B$119)+1),9)),"")</f>
      </c>
      <c r="AJ59" s="23">
        <f t="array" ref="AJ59">IFERROR(INDEX($B$119:$B$131,SMALL(IF(INDEX($C$119:$R$131,0,MATCH($U$59,$C$118:$R$118,0))=1,ROW($B$119:$B$131)-ROW($B$119)+1),10)),"")</f>
      </c>
      <c r="AK59" s="23">
        <f t="array" ref="AK59">IFERROR(INDEX($B$119:$B$131,SMALL(IF(INDEX($C$119:$R$131,0,MATCH($U$59,$C$118:$R$118,0))=1,ROW($B$119:$B$131)-ROW($B$119)+1),11)),"")</f>
      </c>
      <c r="AL59" s="23">
        <f t="array" ref="AL59">IFERROR(INDEX($B$119:$B$131,SMALL(IF(INDEX($C$119:$R$131,0,MATCH($U$59,$C$118:$R$118,0))=1,ROW($B$119:$B$131)-ROW($B$119)+1),12)),"")</f>
      </c>
      <c r="AM59" s="23">
        <f t="array" ref="AM59">IFERROR(INDEX($B$119:$B$131,SMALL(IF(INDEX($C$119:$R$131,0,MATCH($U$59,$C$118:$R$118,0))=1,ROW($B$119:$B$131)-ROW($B$119)+1),13)),"")</f>
      </c>
    </row>
    <row r="60">
      <c r="A60" t="s" s="21">
        <v>109</v>
      </c>
      <c r="B60" t="s" s="21">
        <v>109</v>
      </c>
      <c r="C60" t="s" s="21">
        <v>109</v>
      </c>
      <c r="D60" t="s" s="20">
        <v>109</v>
      </c>
      <c r="E60" t="s" s="20">
        <v>109</v>
      </c>
      <c r="F60" t="s" s="20">
        <v>109</v>
      </c>
      <c r="G60" t="s" s="20">
        <v>109</v>
      </c>
      <c r="H60" t="s" s="20">
        <v>109</v>
      </c>
      <c r="I60" t="s" s="20">
        <v>109</v>
      </c>
      <c r="J60" t="s" s="20">
        <v>109</v>
      </c>
      <c r="K60" t="s" s="20">
        <v>109</v>
      </c>
      <c r="U60" s="23">
        <f>IF($A$60="","",$A$60&amp;"|"&amp;$B$60&amp;"|"&amp;$C$60)</f>
      </c>
      <c r="V60" s="23">
        <f>COUNTA($F$60:$K$60)</f>
      </c>
      <c r="W60" s="23">
        <f>IF($D$60="","OK",IFERROR(UPPER(INDIRECT("'Famille - "&amp;$D$60&amp;"'!"&amp;ADDRESS(10,(2+IF($A$60="Paire",0,1)*8+(MATCH($B$60,{"Lundi","Mardi","Jeudi","Vendredi"},0)-1)*2+IF($C$60="Matin",0,1))))),"OK"))</f>
      </c>
      <c r="X60" s="23">
        <f>IF($D$60="",0,IFERROR(INDIRECT("'Famille - "&amp;$D$60&amp;"'!"&amp;"$B$5"),0))</f>
      </c>
      <c r="Y60" s="23">
        <f>IF($V$60&gt;$X$60,$V$60-$X$60,0)</f>
      </c>
      <c r="Z60" s="23">
        <f>","&amp;_xlfn.TEXTJOIN(",",TRUE,$F$60:$K$60)&amp;","</f>
      </c>
      <c r="AA60" s="23">
        <f t="array" ref="AA60">IFERROR(INDEX($B$119:$B$131,SMALL(IF(INDEX($C$119:$R$131,0,MATCH($U$60,$C$118:$R$118,0))=1,ROW($B$119:$B$131)-ROW($B$119)+1),1)),"")</f>
      </c>
      <c r="AB60" s="23">
        <f t="array" ref="AB60">IFERROR(INDEX($B$119:$B$131,SMALL(IF(INDEX($C$119:$R$131,0,MATCH($U$60,$C$118:$R$118,0))=1,ROW($B$119:$B$131)-ROW($B$119)+1),2)),"")</f>
      </c>
      <c r="AC60" s="23">
        <f t="array" ref="AC60">IFERROR(INDEX($B$119:$B$131,SMALL(IF(INDEX($C$119:$R$131,0,MATCH($U$60,$C$118:$R$118,0))=1,ROW($B$119:$B$131)-ROW($B$119)+1),3)),"")</f>
      </c>
      <c r="AD60" s="23">
        <f t="array" ref="AD60">IFERROR(INDEX($B$119:$B$131,SMALL(IF(INDEX($C$119:$R$131,0,MATCH($U$60,$C$118:$R$118,0))=1,ROW($B$119:$B$131)-ROW($B$119)+1),4)),"")</f>
      </c>
      <c r="AE60" s="23">
        <f t="array" ref="AE60">IFERROR(INDEX($B$119:$B$131,SMALL(IF(INDEX($C$119:$R$131,0,MATCH($U$60,$C$118:$R$118,0))=1,ROW($B$119:$B$131)-ROW($B$119)+1),5)),"")</f>
      </c>
      <c r="AF60" s="23">
        <f t="array" ref="AF60">IFERROR(INDEX($B$119:$B$131,SMALL(IF(INDEX($C$119:$R$131,0,MATCH($U$60,$C$118:$R$118,0))=1,ROW($B$119:$B$131)-ROW($B$119)+1),6)),"")</f>
      </c>
      <c r="AG60" s="23">
        <f t="array" ref="AG60">IFERROR(INDEX($B$119:$B$131,SMALL(IF(INDEX($C$119:$R$131,0,MATCH($U$60,$C$118:$R$118,0))=1,ROW($B$119:$B$131)-ROW($B$119)+1),7)),"")</f>
      </c>
      <c r="AH60" s="23">
        <f t="array" ref="AH60">IFERROR(INDEX($B$119:$B$131,SMALL(IF(INDEX($C$119:$R$131,0,MATCH($U$60,$C$118:$R$118,0))=1,ROW($B$119:$B$131)-ROW($B$119)+1),8)),"")</f>
      </c>
      <c r="AI60" s="23">
        <f t="array" ref="AI60">IFERROR(INDEX($B$119:$B$131,SMALL(IF(INDEX($C$119:$R$131,0,MATCH($U$60,$C$118:$R$118,0))=1,ROW($B$119:$B$131)-ROW($B$119)+1),9)),"")</f>
      </c>
      <c r="AJ60" s="23">
        <f t="array" ref="AJ60">IFERROR(INDEX($B$119:$B$131,SMALL(IF(INDEX($C$119:$R$131,0,MATCH($U$60,$C$118:$R$118,0))=1,ROW($B$119:$B$131)-ROW($B$119)+1),10)),"")</f>
      </c>
      <c r="AK60" s="23">
        <f t="array" ref="AK60">IFERROR(INDEX($B$119:$B$131,SMALL(IF(INDEX($C$119:$R$131,0,MATCH($U$60,$C$118:$R$118,0))=1,ROW($B$119:$B$131)-ROW($B$119)+1),11)),"")</f>
      </c>
      <c r="AL60" s="23">
        <f t="array" ref="AL60">IFERROR(INDEX($B$119:$B$131,SMALL(IF(INDEX($C$119:$R$131,0,MATCH($U$60,$C$118:$R$118,0))=1,ROW($B$119:$B$131)-ROW($B$119)+1),12)),"")</f>
      </c>
      <c r="AM60" s="23">
        <f t="array" ref="AM60">IFERROR(INDEX($B$119:$B$131,SMALL(IF(INDEX($C$119:$R$131,0,MATCH($U$60,$C$118:$R$118,0))=1,ROW($B$119:$B$131)-ROW($B$119)+1),13)),"")</f>
      </c>
    </row>
    <row r="61">
      <c r="A61" t="s" s="21">
        <v>109</v>
      </c>
      <c r="B61" t="s" s="21">
        <v>109</v>
      </c>
      <c r="C61" t="s" s="21">
        <v>109</v>
      </c>
      <c r="D61" t="s" s="20">
        <v>109</v>
      </c>
      <c r="E61" t="s" s="20">
        <v>109</v>
      </c>
      <c r="F61" t="s" s="20">
        <v>109</v>
      </c>
      <c r="G61" t="s" s="20">
        <v>109</v>
      </c>
      <c r="H61" t="s" s="20">
        <v>109</v>
      </c>
      <c r="I61" t="s" s="20">
        <v>109</v>
      </c>
      <c r="J61" t="s" s="20">
        <v>109</v>
      </c>
      <c r="K61" t="s" s="20">
        <v>109</v>
      </c>
      <c r="U61" s="23">
        <f>IF($A$61="","",$A$61&amp;"|"&amp;$B$61&amp;"|"&amp;$C$61)</f>
      </c>
      <c r="V61" s="23">
        <f>COUNTA($F$61:$K$61)</f>
      </c>
      <c r="W61" s="23">
        <f>IF($D$61="","OK",IFERROR(UPPER(INDIRECT("'Famille - "&amp;$D$61&amp;"'!"&amp;ADDRESS(10,(2+IF($A$61="Paire",0,1)*8+(MATCH($B$61,{"Lundi","Mardi","Jeudi","Vendredi"},0)-1)*2+IF($C$61="Matin",0,1))))),"OK"))</f>
      </c>
      <c r="X61" s="23">
        <f>IF($D$61="",0,IFERROR(INDIRECT("'Famille - "&amp;$D$61&amp;"'!"&amp;"$B$5"),0))</f>
      </c>
      <c r="Y61" s="23">
        <f>IF($V$61&gt;$X$61,$V$61-$X$61,0)</f>
      </c>
      <c r="Z61" s="23">
        <f>","&amp;_xlfn.TEXTJOIN(",",TRUE,$F$61:$K$61)&amp;","</f>
      </c>
      <c r="AA61" s="23">
        <f t="array" ref="AA61">IFERROR(INDEX($B$119:$B$131,SMALL(IF(INDEX($C$119:$R$131,0,MATCH($U$61,$C$118:$R$118,0))=1,ROW($B$119:$B$131)-ROW($B$119)+1),1)),"")</f>
      </c>
      <c r="AB61" s="23">
        <f t="array" ref="AB61">IFERROR(INDEX($B$119:$B$131,SMALL(IF(INDEX($C$119:$R$131,0,MATCH($U$61,$C$118:$R$118,0))=1,ROW($B$119:$B$131)-ROW($B$119)+1),2)),"")</f>
      </c>
      <c r="AC61" s="23">
        <f t="array" ref="AC61">IFERROR(INDEX($B$119:$B$131,SMALL(IF(INDEX($C$119:$R$131,0,MATCH($U$61,$C$118:$R$118,0))=1,ROW($B$119:$B$131)-ROW($B$119)+1),3)),"")</f>
      </c>
      <c r="AD61" s="23">
        <f t="array" ref="AD61">IFERROR(INDEX($B$119:$B$131,SMALL(IF(INDEX($C$119:$R$131,0,MATCH($U$61,$C$118:$R$118,0))=1,ROW($B$119:$B$131)-ROW($B$119)+1),4)),"")</f>
      </c>
      <c r="AE61" s="23">
        <f t="array" ref="AE61">IFERROR(INDEX($B$119:$B$131,SMALL(IF(INDEX($C$119:$R$131,0,MATCH($U$61,$C$118:$R$118,0))=1,ROW($B$119:$B$131)-ROW($B$119)+1),5)),"")</f>
      </c>
      <c r="AF61" s="23">
        <f t="array" ref="AF61">IFERROR(INDEX($B$119:$B$131,SMALL(IF(INDEX($C$119:$R$131,0,MATCH($U$61,$C$118:$R$118,0))=1,ROW($B$119:$B$131)-ROW($B$119)+1),6)),"")</f>
      </c>
      <c r="AG61" s="23">
        <f t="array" ref="AG61">IFERROR(INDEX($B$119:$B$131,SMALL(IF(INDEX($C$119:$R$131,0,MATCH($U$61,$C$118:$R$118,0))=1,ROW($B$119:$B$131)-ROW($B$119)+1),7)),"")</f>
      </c>
      <c r="AH61" s="23">
        <f t="array" ref="AH61">IFERROR(INDEX($B$119:$B$131,SMALL(IF(INDEX($C$119:$R$131,0,MATCH($U$61,$C$118:$R$118,0))=1,ROW($B$119:$B$131)-ROW($B$119)+1),8)),"")</f>
      </c>
      <c r="AI61" s="23">
        <f t="array" ref="AI61">IFERROR(INDEX($B$119:$B$131,SMALL(IF(INDEX($C$119:$R$131,0,MATCH($U$61,$C$118:$R$118,0))=1,ROW($B$119:$B$131)-ROW($B$119)+1),9)),"")</f>
      </c>
      <c r="AJ61" s="23">
        <f t="array" ref="AJ61">IFERROR(INDEX($B$119:$B$131,SMALL(IF(INDEX($C$119:$R$131,0,MATCH($U$61,$C$118:$R$118,0))=1,ROW($B$119:$B$131)-ROW($B$119)+1),10)),"")</f>
      </c>
      <c r="AK61" s="23">
        <f t="array" ref="AK61">IFERROR(INDEX($B$119:$B$131,SMALL(IF(INDEX($C$119:$R$131,0,MATCH($U$61,$C$118:$R$118,0))=1,ROW($B$119:$B$131)-ROW($B$119)+1),11)),"")</f>
      </c>
      <c r="AL61" s="23">
        <f t="array" ref="AL61">IFERROR(INDEX($B$119:$B$131,SMALL(IF(INDEX($C$119:$R$131,0,MATCH($U$61,$C$118:$R$118,0))=1,ROW($B$119:$B$131)-ROW($B$119)+1),12)),"")</f>
      </c>
      <c r="AM61" s="23">
        <f t="array" ref="AM61">IFERROR(INDEX($B$119:$B$131,SMALL(IF(INDEX($C$119:$R$131,0,MATCH($U$61,$C$118:$R$118,0))=1,ROW($B$119:$B$131)-ROW($B$119)+1),13)),"")</f>
      </c>
    </row>
    <row r="62">
      <c r="A62" t="s" s="21">
        <v>109</v>
      </c>
      <c r="B62" t="s" s="21">
        <v>109</v>
      </c>
      <c r="C62" t="s" s="21">
        <v>109</v>
      </c>
      <c r="D62" t="s" s="20">
        <v>109</v>
      </c>
      <c r="E62" t="s" s="20">
        <v>109</v>
      </c>
      <c r="F62" t="s" s="20">
        <v>109</v>
      </c>
      <c r="G62" t="s" s="20">
        <v>109</v>
      </c>
      <c r="H62" t="s" s="20">
        <v>109</v>
      </c>
      <c r="I62" t="s" s="20">
        <v>109</v>
      </c>
      <c r="J62" t="s" s="20">
        <v>109</v>
      </c>
      <c r="K62" t="s" s="20">
        <v>109</v>
      </c>
      <c r="U62" s="23">
        <f>IF($A$62="","",$A$62&amp;"|"&amp;$B$62&amp;"|"&amp;$C$62)</f>
      </c>
      <c r="V62" s="23">
        <f>COUNTA($F$62:$K$62)</f>
      </c>
      <c r="W62" s="23">
        <f>IF($D$62="","OK",IFERROR(UPPER(INDIRECT("'Famille - "&amp;$D$62&amp;"'!"&amp;ADDRESS(10,(2+IF($A$62="Paire",0,1)*8+(MATCH($B$62,{"Lundi","Mardi","Jeudi","Vendredi"},0)-1)*2+IF($C$62="Matin",0,1))))),"OK"))</f>
      </c>
      <c r="X62" s="23">
        <f>IF($D$62="",0,IFERROR(INDIRECT("'Famille - "&amp;$D$62&amp;"'!"&amp;"$B$5"),0))</f>
      </c>
      <c r="Y62" s="23">
        <f>IF($V$62&gt;$X$62,$V$62-$X$62,0)</f>
      </c>
      <c r="Z62" s="23">
        <f>","&amp;_xlfn.TEXTJOIN(",",TRUE,$F$62:$K$62)&amp;","</f>
      </c>
      <c r="AA62" s="23">
        <f t="array" ref="AA62">IFERROR(INDEX($B$119:$B$131,SMALL(IF(INDEX($C$119:$R$131,0,MATCH($U$62,$C$118:$R$118,0))=1,ROW($B$119:$B$131)-ROW($B$119)+1),1)),"")</f>
      </c>
      <c r="AB62" s="23">
        <f t="array" ref="AB62">IFERROR(INDEX($B$119:$B$131,SMALL(IF(INDEX($C$119:$R$131,0,MATCH($U$62,$C$118:$R$118,0))=1,ROW($B$119:$B$131)-ROW($B$119)+1),2)),"")</f>
      </c>
      <c r="AC62" s="23">
        <f t="array" ref="AC62">IFERROR(INDEX($B$119:$B$131,SMALL(IF(INDEX($C$119:$R$131,0,MATCH($U$62,$C$118:$R$118,0))=1,ROW($B$119:$B$131)-ROW($B$119)+1),3)),"")</f>
      </c>
      <c r="AD62" s="23">
        <f t="array" ref="AD62">IFERROR(INDEX($B$119:$B$131,SMALL(IF(INDEX($C$119:$R$131,0,MATCH($U$62,$C$118:$R$118,0))=1,ROW($B$119:$B$131)-ROW($B$119)+1),4)),"")</f>
      </c>
      <c r="AE62" s="23">
        <f t="array" ref="AE62">IFERROR(INDEX($B$119:$B$131,SMALL(IF(INDEX($C$119:$R$131,0,MATCH($U$62,$C$118:$R$118,0))=1,ROW($B$119:$B$131)-ROW($B$119)+1),5)),"")</f>
      </c>
      <c r="AF62" s="23">
        <f t="array" ref="AF62">IFERROR(INDEX($B$119:$B$131,SMALL(IF(INDEX($C$119:$R$131,0,MATCH($U$62,$C$118:$R$118,0))=1,ROW($B$119:$B$131)-ROW($B$119)+1),6)),"")</f>
      </c>
      <c r="AG62" s="23">
        <f t="array" ref="AG62">IFERROR(INDEX($B$119:$B$131,SMALL(IF(INDEX($C$119:$R$131,0,MATCH($U$62,$C$118:$R$118,0))=1,ROW($B$119:$B$131)-ROW($B$119)+1),7)),"")</f>
      </c>
      <c r="AH62" s="23">
        <f t="array" ref="AH62">IFERROR(INDEX($B$119:$B$131,SMALL(IF(INDEX($C$119:$R$131,0,MATCH($U$62,$C$118:$R$118,0))=1,ROW($B$119:$B$131)-ROW($B$119)+1),8)),"")</f>
      </c>
      <c r="AI62" s="23">
        <f t="array" ref="AI62">IFERROR(INDEX($B$119:$B$131,SMALL(IF(INDEX($C$119:$R$131,0,MATCH($U$62,$C$118:$R$118,0))=1,ROW($B$119:$B$131)-ROW($B$119)+1),9)),"")</f>
      </c>
      <c r="AJ62" s="23">
        <f t="array" ref="AJ62">IFERROR(INDEX($B$119:$B$131,SMALL(IF(INDEX($C$119:$R$131,0,MATCH($U$62,$C$118:$R$118,0))=1,ROW($B$119:$B$131)-ROW($B$119)+1),10)),"")</f>
      </c>
      <c r="AK62" s="23">
        <f t="array" ref="AK62">IFERROR(INDEX($B$119:$B$131,SMALL(IF(INDEX($C$119:$R$131,0,MATCH($U$62,$C$118:$R$118,0))=1,ROW($B$119:$B$131)-ROW($B$119)+1),11)),"")</f>
      </c>
      <c r="AL62" s="23">
        <f t="array" ref="AL62">IFERROR(INDEX($B$119:$B$131,SMALL(IF(INDEX($C$119:$R$131,0,MATCH($U$62,$C$118:$R$118,0))=1,ROW($B$119:$B$131)-ROW($B$119)+1),12)),"")</f>
      </c>
      <c r="AM62" s="23">
        <f t="array" ref="AM62">IFERROR(INDEX($B$119:$B$131,SMALL(IF(INDEX($C$119:$R$131,0,MATCH($U$62,$C$118:$R$118,0))=1,ROW($B$119:$B$131)-ROW($B$119)+1),13)),"")</f>
      </c>
    </row>
    <row r="63">
      <c r="A63" t="s" s="21">
        <v>109</v>
      </c>
      <c r="B63" t="s" s="21">
        <v>109</v>
      </c>
      <c r="C63" t="s" s="21">
        <v>109</v>
      </c>
      <c r="D63" t="s" s="20">
        <v>109</v>
      </c>
      <c r="E63" t="s" s="20">
        <v>109</v>
      </c>
      <c r="F63" t="s" s="20">
        <v>109</v>
      </c>
      <c r="G63" t="s" s="20">
        <v>109</v>
      </c>
      <c r="H63" t="s" s="20">
        <v>109</v>
      </c>
      <c r="I63" t="s" s="20">
        <v>109</v>
      </c>
      <c r="J63" t="s" s="20">
        <v>109</v>
      </c>
      <c r="K63" t="s" s="20">
        <v>109</v>
      </c>
      <c r="U63" s="23">
        <f>IF($A$63="","",$A$63&amp;"|"&amp;$B$63&amp;"|"&amp;$C$63)</f>
      </c>
      <c r="V63" s="23">
        <f>COUNTA($F$63:$K$63)</f>
      </c>
      <c r="W63" s="23">
        <f>IF($D$63="","OK",IFERROR(UPPER(INDIRECT("'Famille - "&amp;$D$63&amp;"'!"&amp;ADDRESS(10,(2+IF($A$63="Paire",0,1)*8+(MATCH($B$63,{"Lundi","Mardi","Jeudi","Vendredi"},0)-1)*2+IF($C$63="Matin",0,1))))),"OK"))</f>
      </c>
      <c r="X63" s="23">
        <f>IF($D$63="",0,IFERROR(INDIRECT("'Famille - "&amp;$D$63&amp;"'!"&amp;"$B$5"),0))</f>
      </c>
      <c r="Y63" s="23">
        <f>IF($V$63&gt;$X$63,$V$63-$X$63,0)</f>
      </c>
      <c r="Z63" s="23">
        <f>","&amp;_xlfn.TEXTJOIN(",",TRUE,$F$63:$K$63)&amp;","</f>
      </c>
      <c r="AA63" s="23">
        <f t="array" ref="AA63">IFERROR(INDEX($B$119:$B$131,SMALL(IF(INDEX($C$119:$R$131,0,MATCH($U$63,$C$118:$R$118,0))=1,ROW($B$119:$B$131)-ROW($B$119)+1),1)),"")</f>
      </c>
      <c r="AB63" s="23">
        <f t="array" ref="AB63">IFERROR(INDEX($B$119:$B$131,SMALL(IF(INDEX($C$119:$R$131,0,MATCH($U$63,$C$118:$R$118,0))=1,ROW($B$119:$B$131)-ROW($B$119)+1),2)),"")</f>
      </c>
      <c r="AC63" s="23">
        <f t="array" ref="AC63">IFERROR(INDEX($B$119:$B$131,SMALL(IF(INDEX($C$119:$R$131,0,MATCH($U$63,$C$118:$R$118,0))=1,ROW($B$119:$B$131)-ROW($B$119)+1),3)),"")</f>
      </c>
      <c r="AD63" s="23">
        <f t="array" ref="AD63">IFERROR(INDEX($B$119:$B$131,SMALL(IF(INDEX($C$119:$R$131,0,MATCH($U$63,$C$118:$R$118,0))=1,ROW($B$119:$B$131)-ROW($B$119)+1),4)),"")</f>
      </c>
      <c r="AE63" s="23">
        <f t="array" ref="AE63">IFERROR(INDEX($B$119:$B$131,SMALL(IF(INDEX($C$119:$R$131,0,MATCH($U$63,$C$118:$R$118,0))=1,ROW($B$119:$B$131)-ROW($B$119)+1),5)),"")</f>
      </c>
      <c r="AF63" s="23">
        <f t="array" ref="AF63">IFERROR(INDEX($B$119:$B$131,SMALL(IF(INDEX($C$119:$R$131,0,MATCH($U$63,$C$118:$R$118,0))=1,ROW($B$119:$B$131)-ROW($B$119)+1),6)),"")</f>
      </c>
      <c r="AG63" s="23">
        <f t="array" ref="AG63">IFERROR(INDEX($B$119:$B$131,SMALL(IF(INDEX($C$119:$R$131,0,MATCH($U$63,$C$118:$R$118,0))=1,ROW($B$119:$B$131)-ROW($B$119)+1),7)),"")</f>
      </c>
      <c r="AH63" s="23">
        <f t="array" ref="AH63">IFERROR(INDEX($B$119:$B$131,SMALL(IF(INDEX($C$119:$R$131,0,MATCH($U$63,$C$118:$R$118,0))=1,ROW($B$119:$B$131)-ROW($B$119)+1),8)),"")</f>
      </c>
      <c r="AI63" s="23">
        <f t="array" ref="AI63">IFERROR(INDEX($B$119:$B$131,SMALL(IF(INDEX($C$119:$R$131,0,MATCH($U$63,$C$118:$R$118,0))=1,ROW($B$119:$B$131)-ROW($B$119)+1),9)),"")</f>
      </c>
      <c r="AJ63" s="23">
        <f t="array" ref="AJ63">IFERROR(INDEX($B$119:$B$131,SMALL(IF(INDEX($C$119:$R$131,0,MATCH($U$63,$C$118:$R$118,0))=1,ROW($B$119:$B$131)-ROW($B$119)+1),10)),"")</f>
      </c>
      <c r="AK63" s="23">
        <f t="array" ref="AK63">IFERROR(INDEX($B$119:$B$131,SMALL(IF(INDEX($C$119:$R$131,0,MATCH($U$63,$C$118:$R$118,0))=1,ROW($B$119:$B$131)-ROW($B$119)+1),11)),"")</f>
      </c>
      <c r="AL63" s="23">
        <f t="array" ref="AL63">IFERROR(INDEX($B$119:$B$131,SMALL(IF(INDEX($C$119:$R$131,0,MATCH($U$63,$C$118:$R$118,0))=1,ROW($B$119:$B$131)-ROW($B$119)+1),12)),"")</f>
      </c>
      <c r="AM63" s="23">
        <f t="array" ref="AM63">IFERROR(INDEX($B$119:$B$131,SMALL(IF(INDEX($C$119:$R$131,0,MATCH($U$63,$C$118:$R$118,0))=1,ROW($B$119:$B$131)-ROW($B$119)+1),13)),"")</f>
      </c>
    </row>
    <row r="64">
      <c r="A64" t="s" s="21">
        <v>109</v>
      </c>
      <c r="B64" t="s" s="21">
        <v>109</v>
      </c>
      <c r="C64" t="s" s="21">
        <v>109</v>
      </c>
      <c r="D64" t="s" s="20">
        <v>109</v>
      </c>
      <c r="E64" t="s" s="20">
        <v>109</v>
      </c>
      <c r="F64" t="s" s="20">
        <v>109</v>
      </c>
      <c r="G64" t="s" s="20">
        <v>109</v>
      </c>
      <c r="H64" t="s" s="20">
        <v>109</v>
      </c>
      <c r="I64" t="s" s="20">
        <v>109</v>
      </c>
      <c r="J64" t="s" s="20">
        <v>109</v>
      </c>
      <c r="K64" t="s" s="20">
        <v>109</v>
      </c>
      <c r="U64" s="23">
        <f>IF($A$64="","",$A$64&amp;"|"&amp;$B$64&amp;"|"&amp;$C$64)</f>
      </c>
      <c r="V64" s="23">
        <f>COUNTA($F$64:$K$64)</f>
      </c>
      <c r="W64" s="23">
        <f>IF($D$64="","OK",IFERROR(UPPER(INDIRECT("'Famille - "&amp;$D$64&amp;"'!"&amp;ADDRESS(10,(2+IF($A$64="Paire",0,1)*8+(MATCH($B$64,{"Lundi","Mardi","Jeudi","Vendredi"},0)-1)*2+IF($C$64="Matin",0,1))))),"OK"))</f>
      </c>
      <c r="X64" s="23">
        <f>IF($D$64="",0,IFERROR(INDIRECT("'Famille - "&amp;$D$64&amp;"'!"&amp;"$B$5"),0))</f>
      </c>
      <c r="Y64" s="23">
        <f>IF($V$64&gt;$X$64,$V$64-$X$64,0)</f>
      </c>
      <c r="Z64" s="23">
        <f>","&amp;_xlfn.TEXTJOIN(",",TRUE,$F$64:$K$64)&amp;","</f>
      </c>
      <c r="AA64" s="23">
        <f t="array" ref="AA64">IFERROR(INDEX($B$119:$B$131,SMALL(IF(INDEX($C$119:$R$131,0,MATCH($U$64,$C$118:$R$118,0))=1,ROW($B$119:$B$131)-ROW($B$119)+1),1)),"")</f>
      </c>
      <c r="AB64" s="23">
        <f t="array" ref="AB64">IFERROR(INDEX($B$119:$B$131,SMALL(IF(INDEX($C$119:$R$131,0,MATCH($U$64,$C$118:$R$118,0))=1,ROW($B$119:$B$131)-ROW($B$119)+1),2)),"")</f>
      </c>
      <c r="AC64" s="23">
        <f t="array" ref="AC64">IFERROR(INDEX($B$119:$B$131,SMALL(IF(INDEX($C$119:$R$131,0,MATCH($U$64,$C$118:$R$118,0))=1,ROW($B$119:$B$131)-ROW($B$119)+1),3)),"")</f>
      </c>
      <c r="AD64" s="23">
        <f t="array" ref="AD64">IFERROR(INDEX($B$119:$B$131,SMALL(IF(INDEX($C$119:$R$131,0,MATCH($U$64,$C$118:$R$118,0))=1,ROW($B$119:$B$131)-ROW($B$119)+1),4)),"")</f>
      </c>
      <c r="AE64" s="23">
        <f t="array" ref="AE64">IFERROR(INDEX($B$119:$B$131,SMALL(IF(INDEX($C$119:$R$131,0,MATCH($U$64,$C$118:$R$118,0))=1,ROW($B$119:$B$131)-ROW($B$119)+1),5)),"")</f>
      </c>
      <c r="AF64" s="23">
        <f t="array" ref="AF64">IFERROR(INDEX($B$119:$B$131,SMALL(IF(INDEX($C$119:$R$131,0,MATCH($U$64,$C$118:$R$118,0))=1,ROW($B$119:$B$131)-ROW($B$119)+1),6)),"")</f>
      </c>
      <c r="AG64" s="23">
        <f t="array" ref="AG64">IFERROR(INDEX($B$119:$B$131,SMALL(IF(INDEX($C$119:$R$131,0,MATCH($U$64,$C$118:$R$118,0))=1,ROW($B$119:$B$131)-ROW($B$119)+1),7)),"")</f>
      </c>
      <c r="AH64" s="23">
        <f t="array" ref="AH64">IFERROR(INDEX($B$119:$B$131,SMALL(IF(INDEX($C$119:$R$131,0,MATCH($U$64,$C$118:$R$118,0))=1,ROW($B$119:$B$131)-ROW($B$119)+1),8)),"")</f>
      </c>
      <c r="AI64" s="23">
        <f t="array" ref="AI64">IFERROR(INDEX($B$119:$B$131,SMALL(IF(INDEX($C$119:$R$131,0,MATCH($U$64,$C$118:$R$118,0))=1,ROW($B$119:$B$131)-ROW($B$119)+1),9)),"")</f>
      </c>
      <c r="AJ64" s="23">
        <f t="array" ref="AJ64">IFERROR(INDEX($B$119:$B$131,SMALL(IF(INDEX($C$119:$R$131,0,MATCH($U$64,$C$118:$R$118,0))=1,ROW($B$119:$B$131)-ROW($B$119)+1),10)),"")</f>
      </c>
      <c r="AK64" s="23">
        <f t="array" ref="AK64">IFERROR(INDEX($B$119:$B$131,SMALL(IF(INDEX($C$119:$R$131,0,MATCH($U$64,$C$118:$R$118,0))=1,ROW($B$119:$B$131)-ROW($B$119)+1),11)),"")</f>
      </c>
      <c r="AL64" s="23">
        <f t="array" ref="AL64">IFERROR(INDEX($B$119:$B$131,SMALL(IF(INDEX($C$119:$R$131,0,MATCH($U$64,$C$118:$R$118,0))=1,ROW($B$119:$B$131)-ROW($B$119)+1),12)),"")</f>
      </c>
      <c r="AM64" s="23">
        <f t="array" ref="AM64">IFERROR(INDEX($B$119:$B$131,SMALL(IF(INDEX($C$119:$R$131,0,MATCH($U$64,$C$118:$R$118,0))=1,ROW($B$119:$B$131)-ROW($B$119)+1),13)),"")</f>
      </c>
    </row>
    <row r="65">
      <c r="A65" t="s" s="21">
        <v>109</v>
      </c>
      <c r="B65" t="s" s="21">
        <v>109</v>
      </c>
      <c r="C65" t="s" s="21">
        <v>109</v>
      </c>
      <c r="D65" t="s" s="20">
        <v>109</v>
      </c>
      <c r="E65" t="s" s="20">
        <v>109</v>
      </c>
      <c r="F65" t="s" s="20">
        <v>109</v>
      </c>
      <c r="G65" t="s" s="20">
        <v>109</v>
      </c>
      <c r="H65" t="s" s="20">
        <v>109</v>
      </c>
      <c r="I65" t="s" s="20">
        <v>109</v>
      </c>
      <c r="J65" t="s" s="20">
        <v>109</v>
      </c>
      <c r="K65" t="s" s="20">
        <v>109</v>
      </c>
      <c r="U65" s="23">
        <f>IF($A$65="","",$A$65&amp;"|"&amp;$B$65&amp;"|"&amp;$C$65)</f>
      </c>
      <c r="V65" s="23">
        <f>COUNTA($F$65:$K$65)</f>
      </c>
      <c r="W65" s="23">
        <f>IF($D$65="","OK",IFERROR(UPPER(INDIRECT("'Famille - "&amp;$D$65&amp;"'!"&amp;ADDRESS(10,(2+IF($A$65="Paire",0,1)*8+(MATCH($B$65,{"Lundi","Mardi","Jeudi","Vendredi"},0)-1)*2+IF($C$65="Matin",0,1))))),"OK"))</f>
      </c>
      <c r="X65" s="23">
        <f>IF($D$65="",0,IFERROR(INDIRECT("'Famille - "&amp;$D$65&amp;"'!"&amp;"$B$5"),0))</f>
      </c>
      <c r="Y65" s="23">
        <f>IF($V$65&gt;$X$65,$V$65-$X$65,0)</f>
      </c>
      <c r="Z65" s="23">
        <f>","&amp;_xlfn.TEXTJOIN(",",TRUE,$F$65:$K$65)&amp;","</f>
      </c>
      <c r="AA65" s="23">
        <f t="array" ref="AA65">IFERROR(INDEX($B$119:$B$131,SMALL(IF(INDEX($C$119:$R$131,0,MATCH($U$65,$C$118:$R$118,0))=1,ROW($B$119:$B$131)-ROW($B$119)+1),1)),"")</f>
      </c>
      <c r="AB65" s="23">
        <f t="array" ref="AB65">IFERROR(INDEX($B$119:$B$131,SMALL(IF(INDEX($C$119:$R$131,0,MATCH($U$65,$C$118:$R$118,0))=1,ROW($B$119:$B$131)-ROW($B$119)+1),2)),"")</f>
      </c>
      <c r="AC65" s="23">
        <f t="array" ref="AC65">IFERROR(INDEX($B$119:$B$131,SMALL(IF(INDEX($C$119:$R$131,0,MATCH($U$65,$C$118:$R$118,0))=1,ROW($B$119:$B$131)-ROW($B$119)+1),3)),"")</f>
      </c>
      <c r="AD65" s="23">
        <f t="array" ref="AD65">IFERROR(INDEX($B$119:$B$131,SMALL(IF(INDEX($C$119:$R$131,0,MATCH($U$65,$C$118:$R$118,0))=1,ROW($B$119:$B$131)-ROW($B$119)+1),4)),"")</f>
      </c>
      <c r="AE65" s="23">
        <f t="array" ref="AE65">IFERROR(INDEX($B$119:$B$131,SMALL(IF(INDEX($C$119:$R$131,0,MATCH($U$65,$C$118:$R$118,0))=1,ROW($B$119:$B$131)-ROW($B$119)+1),5)),"")</f>
      </c>
      <c r="AF65" s="23">
        <f t="array" ref="AF65">IFERROR(INDEX($B$119:$B$131,SMALL(IF(INDEX($C$119:$R$131,0,MATCH($U$65,$C$118:$R$118,0))=1,ROW($B$119:$B$131)-ROW($B$119)+1),6)),"")</f>
      </c>
      <c r="AG65" s="23">
        <f t="array" ref="AG65">IFERROR(INDEX($B$119:$B$131,SMALL(IF(INDEX($C$119:$R$131,0,MATCH($U$65,$C$118:$R$118,0))=1,ROW($B$119:$B$131)-ROW($B$119)+1),7)),"")</f>
      </c>
      <c r="AH65" s="23">
        <f t="array" ref="AH65">IFERROR(INDEX($B$119:$B$131,SMALL(IF(INDEX($C$119:$R$131,0,MATCH($U$65,$C$118:$R$118,0))=1,ROW($B$119:$B$131)-ROW($B$119)+1),8)),"")</f>
      </c>
      <c r="AI65" s="23">
        <f t="array" ref="AI65">IFERROR(INDEX($B$119:$B$131,SMALL(IF(INDEX($C$119:$R$131,0,MATCH($U$65,$C$118:$R$118,0))=1,ROW($B$119:$B$131)-ROW($B$119)+1),9)),"")</f>
      </c>
      <c r="AJ65" s="23">
        <f t="array" ref="AJ65">IFERROR(INDEX($B$119:$B$131,SMALL(IF(INDEX($C$119:$R$131,0,MATCH($U$65,$C$118:$R$118,0))=1,ROW($B$119:$B$131)-ROW($B$119)+1),10)),"")</f>
      </c>
      <c r="AK65" s="23">
        <f t="array" ref="AK65">IFERROR(INDEX($B$119:$B$131,SMALL(IF(INDEX($C$119:$R$131,0,MATCH($U$65,$C$118:$R$118,0))=1,ROW($B$119:$B$131)-ROW($B$119)+1),11)),"")</f>
      </c>
      <c r="AL65" s="23">
        <f t="array" ref="AL65">IFERROR(INDEX($B$119:$B$131,SMALL(IF(INDEX($C$119:$R$131,0,MATCH($U$65,$C$118:$R$118,0))=1,ROW($B$119:$B$131)-ROW($B$119)+1),12)),"")</f>
      </c>
      <c r="AM65" s="23">
        <f t="array" ref="AM65">IFERROR(INDEX($B$119:$B$131,SMALL(IF(INDEX($C$119:$R$131,0,MATCH($U$65,$C$118:$R$118,0))=1,ROW($B$119:$B$131)-ROW($B$119)+1),13)),"")</f>
      </c>
    </row>
    <row r="66">
      <c r="A66" t="s" s="21">
        <v>109</v>
      </c>
      <c r="B66" t="s" s="21">
        <v>109</v>
      </c>
      <c r="C66" t="s" s="21">
        <v>109</v>
      </c>
      <c r="D66" t="s" s="20">
        <v>109</v>
      </c>
      <c r="E66" t="s" s="20">
        <v>109</v>
      </c>
      <c r="F66" t="s" s="20">
        <v>109</v>
      </c>
      <c r="G66" t="s" s="20">
        <v>109</v>
      </c>
      <c r="H66" t="s" s="20">
        <v>109</v>
      </c>
      <c r="I66" t="s" s="20">
        <v>109</v>
      </c>
      <c r="J66" t="s" s="20">
        <v>109</v>
      </c>
      <c r="K66" t="s" s="20">
        <v>109</v>
      </c>
      <c r="U66" s="23">
        <f>IF($A$66="","",$A$66&amp;"|"&amp;$B$66&amp;"|"&amp;$C$66)</f>
      </c>
      <c r="V66" s="23">
        <f>COUNTA($F$66:$K$66)</f>
      </c>
      <c r="W66" s="23">
        <f>IF($D$66="","OK",IFERROR(UPPER(INDIRECT("'Famille - "&amp;$D$66&amp;"'!"&amp;ADDRESS(10,(2+IF($A$66="Paire",0,1)*8+(MATCH($B$66,{"Lundi","Mardi","Jeudi","Vendredi"},0)-1)*2+IF($C$66="Matin",0,1))))),"OK"))</f>
      </c>
      <c r="X66" s="23">
        <f>IF($D$66="",0,IFERROR(INDIRECT("'Famille - "&amp;$D$66&amp;"'!"&amp;"$B$5"),0))</f>
      </c>
      <c r="Y66" s="23">
        <f>IF($V$66&gt;$X$66,$V$66-$X$66,0)</f>
      </c>
      <c r="Z66" s="23">
        <f>","&amp;_xlfn.TEXTJOIN(",",TRUE,$F$66:$K$66)&amp;","</f>
      </c>
      <c r="AA66" s="23">
        <f t="array" ref="AA66">IFERROR(INDEX($B$119:$B$131,SMALL(IF(INDEX($C$119:$R$131,0,MATCH($U$66,$C$118:$R$118,0))=1,ROW($B$119:$B$131)-ROW($B$119)+1),1)),"")</f>
      </c>
      <c r="AB66" s="23">
        <f t="array" ref="AB66">IFERROR(INDEX($B$119:$B$131,SMALL(IF(INDEX($C$119:$R$131,0,MATCH($U$66,$C$118:$R$118,0))=1,ROW($B$119:$B$131)-ROW($B$119)+1),2)),"")</f>
      </c>
      <c r="AC66" s="23">
        <f t="array" ref="AC66">IFERROR(INDEX($B$119:$B$131,SMALL(IF(INDEX($C$119:$R$131,0,MATCH($U$66,$C$118:$R$118,0))=1,ROW($B$119:$B$131)-ROW($B$119)+1),3)),"")</f>
      </c>
      <c r="AD66" s="23">
        <f t="array" ref="AD66">IFERROR(INDEX($B$119:$B$131,SMALL(IF(INDEX($C$119:$R$131,0,MATCH($U$66,$C$118:$R$118,0))=1,ROW($B$119:$B$131)-ROW($B$119)+1),4)),"")</f>
      </c>
      <c r="AE66" s="23">
        <f t="array" ref="AE66">IFERROR(INDEX($B$119:$B$131,SMALL(IF(INDEX($C$119:$R$131,0,MATCH($U$66,$C$118:$R$118,0))=1,ROW($B$119:$B$131)-ROW($B$119)+1),5)),"")</f>
      </c>
      <c r="AF66" s="23">
        <f t="array" ref="AF66">IFERROR(INDEX($B$119:$B$131,SMALL(IF(INDEX($C$119:$R$131,0,MATCH($U$66,$C$118:$R$118,0))=1,ROW($B$119:$B$131)-ROW($B$119)+1),6)),"")</f>
      </c>
      <c r="AG66" s="23">
        <f t="array" ref="AG66">IFERROR(INDEX($B$119:$B$131,SMALL(IF(INDEX($C$119:$R$131,0,MATCH($U$66,$C$118:$R$118,0))=1,ROW($B$119:$B$131)-ROW($B$119)+1),7)),"")</f>
      </c>
      <c r="AH66" s="23">
        <f t="array" ref="AH66">IFERROR(INDEX($B$119:$B$131,SMALL(IF(INDEX($C$119:$R$131,0,MATCH($U$66,$C$118:$R$118,0))=1,ROW($B$119:$B$131)-ROW($B$119)+1),8)),"")</f>
      </c>
      <c r="AI66" s="23">
        <f t="array" ref="AI66">IFERROR(INDEX($B$119:$B$131,SMALL(IF(INDEX($C$119:$R$131,0,MATCH($U$66,$C$118:$R$118,0))=1,ROW($B$119:$B$131)-ROW($B$119)+1),9)),"")</f>
      </c>
      <c r="AJ66" s="23">
        <f t="array" ref="AJ66">IFERROR(INDEX($B$119:$B$131,SMALL(IF(INDEX($C$119:$R$131,0,MATCH($U$66,$C$118:$R$118,0))=1,ROW($B$119:$B$131)-ROW($B$119)+1),10)),"")</f>
      </c>
      <c r="AK66" s="23">
        <f t="array" ref="AK66">IFERROR(INDEX($B$119:$B$131,SMALL(IF(INDEX($C$119:$R$131,0,MATCH($U$66,$C$118:$R$118,0))=1,ROW($B$119:$B$131)-ROW($B$119)+1),11)),"")</f>
      </c>
      <c r="AL66" s="23">
        <f t="array" ref="AL66">IFERROR(INDEX($B$119:$B$131,SMALL(IF(INDEX($C$119:$R$131,0,MATCH($U$66,$C$118:$R$118,0))=1,ROW($B$119:$B$131)-ROW($B$119)+1),12)),"")</f>
      </c>
      <c r="AM66" s="23">
        <f t="array" ref="AM66">IFERROR(INDEX($B$119:$B$131,SMALL(IF(INDEX($C$119:$R$131,0,MATCH($U$66,$C$118:$R$118,0))=1,ROW($B$119:$B$131)-ROW($B$119)+1),13)),"")</f>
      </c>
    </row>
    <row r="67">
      <c r="A67" t="s" s="21">
        <v>109</v>
      </c>
      <c r="B67" t="s" s="21">
        <v>109</v>
      </c>
      <c r="C67" t="s" s="21">
        <v>109</v>
      </c>
      <c r="D67" t="s" s="20">
        <v>109</v>
      </c>
      <c r="E67" t="s" s="20">
        <v>109</v>
      </c>
      <c r="F67" t="s" s="20">
        <v>109</v>
      </c>
      <c r="G67" t="s" s="20">
        <v>109</v>
      </c>
      <c r="H67" t="s" s="20">
        <v>109</v>
      </c>
      <c r="I67" t="s" s="20">
        <v>109</v>
      </c>
      <c r="J67" t="s" s="20">
        <v>109</v>
      </c>
      <c r="K67" t="s" s="20">
        <v>109</v>
      </c>
      <c r="U67" s="23">
        <f>IF($A$67="","",$A$67&amp;"|"&amp;$B$67&amp;"|"&amp;$C$67)</f>
      </c>
      <c r="V67" s="23">
        <f>COUNTA($F$67:$K$67)</f>
      </c>
      <c r="W67" s="23">
        <f>IF($D$67="","OK",IFERROR(UPPER(INDIRECT("'Famille - "&amp;$D$67&amp;"'!"&amp;ADDRESS(10,(2+IF($A$67="Paire",0,1)*8+(MATCH($B$67,{"Lundi","Mardi","Jeudi","Vendredi"},0)-1)*2+IF($C$67="Matin",0,1))))),"OK"))</f>
      </c>
      <c r="X67" s="23">
        <f>IF($D$67="",0,IFERROR(INDIRECT("'Famille - "&amp;$D$67&amp;"'!"&amp;"$B$5"),0))</f>
      </c>
      <c r="Y67" s="23">
        <f>IF($V$67&gt;$X$67,$V$67-$X$67,0)</f>
      </c>
      <c r="Z67" s="23">
        <f>","&amp;_xlfn.TEXTJOIN(",",TRUE,$F$67:$K$67)&amp;","</f>
      </c>
      <c r="AA67" s="23">
        <f t="array" ref="AA67">IFERROR(INDEX($B$119:$B$131,SMALL(IF(INDEX($C$119:$R$131,0,MATCH($U$67,$C$118:$R$118,0))=1,ROW($B$119:$B$131)-ROW($B$119)+1),1)),"")</f>
      </c>
      <c r="AB67" s="23">
        <f t="array" ref="AB67">IFERROR(INDEX($B$119:$B$131,SMALL(IF(INDEX($C$119:$R$131,0,MATCH($U$67,$C$118:$R$118,0))=1,ROW($B$119:$B$131)-ROW($B$119)+1),2)),"")</f>
      </c>
      <c r="AC67" s="23">
        <f t="array" ref="AC67">IFERROR(INDEX($B$119:$B$131,SMALL(IF(INDEX($C$119:$R$131,0,MATCH($U$67,$C$118:$R$118,0))=1,ROW($B$119:$B$131)-ROW($B$119)+1),3)),"")</f>
      </c>
      <c r="AD67" s="23">
        <f t="array" ref="AD67">IFERROR(INDEX($B$119:$B$131,SMALL(IF(INDEX($C$119:$R$131,0,MATCH($U$67,$C$118:$R$118,0))=1,ROW($B$119:$B$131)-ROW($B$119)+1),4)),"")</f>
      </c>
      <c r="AE67" s="23">
        <f t="array" ref="AE67">IFERROR(INDEX($B$119:$B$131,SMALL(IF(INDEX($C$119:$R$131,0,MATCH($U$67,$C$118:$R$118,0))=1,ROW($B$119:$B$131)-ROW($B$119)+1),5)),"")</f>
      </c>
      <c r="AF67" s="23">
        <f t="array" ref="AF67">IFERROR(INDEX($B$119:$B$131,SMALL(IF(INDEX($C$119:$R$131,0,MATCH($U$67,$C$118:$R$118,0))=1,ROW($B$119:$B$131)-ROW($B$119)+1),6)),"")</f>
      </c>
      <c r="AG67" s="23">
        <f t="array" ref="AG67">IFERROR(INDEX($B$119:$B$131,SMALL(IF(INDEX($C$119:$R$131,0,MATCH($U$67,$C$118:$R$118,0))=1,ROW($B$119:$B$131)-ROW($B$119)+1),7)),"")</f>
      </c>
      <c r="AH67" s="23">
        <f t="array" ref="AH67">IFERROR(INDEX($B$119:$B$131,SMALL(IF(INDEX($C$119:$R$131,0,MATCH($U$67,$C$118:$R$118,0))=1,ROW($B$119:$B$131)-ROW($B$119)+1),8)),"")</f>
      </c>
      <c r="AI67" s="23">
        <f t="array" ref="AI67">IFERROR(INDEX($B$119:$B$131,SMALL(IF(INDEX($C$119:$R$131,0,MATCH($U$67,$C$118:$R$118,0))=1,ROW($B$119:$B$131)-ROW($B$119)+1),9)),"")</f>
      </c>
      <c r="AJ67" s="23">
        <f t="array" ref="AJ67">IFERROR(INDEX($B$119:$B$131,SMALL(IF(INDEX($C$119:$R$131,0,MATCH($U$67,$C$118:$R$118,0))=1,ROW($B$119:$B$131)-ROW($B$119)+1),10)),"")</f>
      </c>
      <c r="AK67" s="23">
        <f t="array" ref="AK67">IFERROR(INDEX($B$119:$B$131,SMALL(IF(INDEX($C$119:$R$131,0,MATCH($U$67,$C$118:$R$118,0))=1,ROW($B$119:$B$131)-ROW($B$119)+1),11)),"")</f>
      </c>
      <c r="AL67" s="23">
        <f t="array" ref="AL67">IFERROR(INDEX($B$119:$B$131,SMALL(IF(INDEX($C$119:$R$131,0,MATCH($U$67,$C$118:$R$118,0))=1,ROW($B$119:$B$131)-ROW($B$119)+1),12)),"")</f>
      </c>
      <c r="AM67" s="23">
        <f t="array" ref="AM67">IFERROR(INDEX($B$119:$B$131,SMALL(IF(INDEX($C$119:$R$131,0,MATCH($U$67,$C$118:$R$118,0))=1,ROW($B$119:$B$131)-ROW($B$119)+1),13)),"")</f>
      </c>
    </row>
    <row r="68">
      <c r="A68" t="s" s="21">
        <v>109</v>
      </c>
      <c r="B68" t="s" s="21">
        <v>109</v>
      </c>
      <c r="C68" t="s" s="21">
        <v>109</v>
      </c>
      <c r="D68" t="s" s="20">
        <v>109</v>
      </c>
      <c r="E68" t="s" s="20">
        <v>109</v>
      </c>
      <c r="F68" t="s" s="20">
        <v>109</v>
      </c>
      <c r="G68" t="s" s="20">
        <v>109</v>
      </c>
      <c r="H68" t="s" s="20">
        <v>109</v>
      </c>
      <c r="I68" t="s" s="20">
        <v>109</v>
      </c>
      <c r="J68" t="s" s="20">
        <v>109</v>
      </c>
      <c r="K68" t="s" s="20">
        <v>109</v>
      </c>
      <c r="U68" s="23">
        <f>IF($A$68="","",$A$68&amp;"|"&amp;$B$68&amp;"|"&amp;$C$68)</f>
      </c>
      <c r="V68" s="23">
        <f>COUNTA($F$68:$K$68)</f>
      </c>
      <c r="W68" s="23">
        <f>IF($D$68="","OK",IFERROR(UPPER(INDIRECT("'Famille - "&amp;$D$68&amp;"'!"&amp;ADDRESS(10,(2+IF($A$68="Paire",0,1)*8+(MATCH($B$68,{"Lundi","Mardi","Jeudi","Vendredi"},0)-1)*2+IF($C$68="Matin",0,1))))),"OK"))</f>
      </c>
      <c r="X68" s="23">
        <f>IF($D$68="",0,IFERROR(INDIRECT("'Famille - "&amp;$D$68&amp;"'!"&amp;"$B$5"),0))</f>
      </c>
      <c r="Y68" s="23">
        <f>IF($V$68&gt;$X$68,$V$68-$X$68,0)</f>
      </c>
      <c r="Z68" s="23">
        <f>","&amp;_xlfn.TEXTJOIN(",",TRUE,$F$68:$K$68)&amp;","</f>
      </c>
      <c r="AA68" s="23">
        <f t="array" ref="AA68">IFERROR(INDEX($B$119:$B$131,SMALL(IF(INDEX($C$119:$R$131,0,MATCH($U$68,$C$118:$R$118,0))=1,ROW($B$119:$B$131)-ROW($B$119)+1),1)),"")</f>
      </c>
      <c r="AB68" s="23">
        <f t="array" ref="AB68">IFERROR(INDEX($B$119:$B$131,SMALL(IF(INDEX($C$119:$R$131,0,MATCH($U$68,$C$118:$R$118,0))=1,ROW($B$119:$B$131)-ROW($B$119)+1),2)),"")</f>
      </c>
      <c r="AC68" s="23">
        <f t="array" ref="AC68">IFERROR(INDEX($B$119:$B$131,SMALL(IF(INDEX($C$119:$R$131,0,MATCH($U$68,$C$118:$R$118,0))=1,ROW($B$119:$B$131)-ROW($B$119)+1),3)),"")</f>
      </c>
      <c r="AD68" s="23">
        <f t="array" ref="AD68">IFERROR(INDEX($B$119:$B$131,SMALL(IF(INDEX($C$119:$R$131,0,MATCH($U$68,$C$118:$R$118,0))=1,ROW($B$119:$B$131)-ROW($B$119)+1),4)),"")</f>
      </c>
      <c r="AE68" s="23">
        <f t="array" ref="AE68">IFERROR(INDEX($B$119:$B$131,SMALL(IF(INDEX($C$119:$R$131,0,MATCH($U$68,$C$118:$R$118,0))=1,ROW($B$119:$B$131)-ROW($B$119)+1),5)),"")</f>
      </c>
      <c r="AF68" s="23">
        <f t="array" ref="AF68">IFERROR(INDEX($B$119:$B$131,SMALL(IF(INDEX($C$119:$R$131,0,MATCH($U$68,$C$118:$R$118,0))=1,ROW($B$119:$B$131)-ROW($B$119)+1),6)),"")</f>
      </c>
      <c r="AG68" s="23">
        <f t="array" ref="AG68">IFERROR(INDEX($B$119:$B$131,SMALL(IF(INDEX($C$119:$R$131,0,MATCH($U$68,$C$118:$R$118,0))=1,ROW($B$119:$B$131)-ROW($B$119)+1),7)),"")</f>
      </c>
      <c r="AH68" s="23">
        <f t="array" ref="AH68">IFERROR(INDEX($B$119:$B$131,SMALL(IF(INDEX($C$119:$R$131,0,MATCH($U$68,$C$118:$R$118,0))=1,ROW($B$119:$B$131)-ROW($B$119)+1),8)),"")</f>
      </c>
      <c r="AI68" s="23">
        <f t="array" ref="AI68">IFERROR(INDEX($B$119:$B$131,SMALL(IF(INDEX($C$119:$R$131,0,MATCH($U$68,$C$118:$R$118,0))=1,ROW($B$119:$B$131)-ROW($B$119)+1),9)),"")</f>
      </c>
      <c r="AJ68" s="23">
        <f t="array" ref="AJ68">IFERROR(INDEX($B$119:$B$131,SMALL(IF(INDEX($C$119:$R$131,0,MATCH($U$68,$C$118:$R$118,0))=1,ROW($B$119:$B$131)-ROW($B$119)+1),10)),"")</f>
      </c>
      <c r="AK68" s="23">
        <f t="array" ref="AK68">IFERROR(INDEX($B$119:$B$131,SMALL(IF(INDEX($C$119:$R$131,0,MATCH($U$68,$C$118:$R$118,0))=1,ROW($B$119:$B$131)-ROW($B$119)+1),11)),"")</f>
      </c>
      <c r="AL68" s="23">
        <f t="array" ref="AL68">IFERROR(INDEX($B$119:$B$131,SMALL(IF(INDEX($C$119:$R$131,0,MATCH($U$68,$C$118:$R$118,0))=1,ROW($B$119:$B$131)-ROW($B$119)+1),12)),"")</f>
      </c>
      <c r="AM68" s="23">
        <f t="array" ref="AM68">IFERROR(INDEX($B$119:$B$131,SMALL(IF(INDEX($C$119:$R$131,0,MATCH($U$68,$C$118:$R$118,0))=1,ROW($B$119:$B$131)-ROW($B$119)+1),13)),"")</f>
      </c>
    </row>
    <row r="69">
      <c r="A69" t="s" s="21">
        <v>109</v>
      </c>
      <c r="B69" t="s" s="21">
        <v>109</v>
      </c>
      <c r="C69" t="s" s="21">
        <v>109</v>
      </c>
      <c r="D69" t="s" s="20">
        <v>109</v>
      </c>
      <c r="E69" t="s" s="20">
        <v>109</v>
      </c>
      <c r="F69" t="s" s="20">
        <v>109</v>
      </c>
      <c r="G69" t="s" s="20">
        <v>109</v>
      </c>
      <c r="H69" t="s" s="20">
        <v>109</v>
      </c>
      <c r="I69" t="s" s="20">
        <v>109</v>
      </c>
      <c r="J69" t="s" s="20">
        <v>109</v>
      </c>
      <c r="K69" t="s" s="20">
        <v>109</v>
      </c>
      <c r="U69" s="23">
        <f>IF($A$69="","",$A$69&amp;"|"&amp;$B$69&amp;"|"&amp;$C$69)</f>
      </c>
      <c r="V69" s="23">
        <f>COUNTA($F$69:$K$69)</f>
      </c>
      <c r="W69" s="23">
        <f>IF($D$69="","OK",IFERROR(UPPER(INDIRECT("'Famille - "&amp;$D$69&amp;"'!"&amp;ADDRESS(10,(2+IF($A$69="Paire",0,1)*8+(MATCH($B$69,{"Lundi","Mardi","Jeudi","Vendredi"},0)-1)*2+IF($C$69="Matin",0,1))))),"OK"))</f>
      </c>
      <c r="X69" s="23">
        <f>IF($D$69="",0,IFERROR(INDIRECT("'Famille - "&amp;$D$69&amp;"'!"&amp;"$B$5"),0))</f>
      </c>
      <c r="Y69" s="23">
        <f>IF($V$69&gt;$X$69,$V$69-$X$69,0)</f>
      </c>
      <c r="Z69" s="23">
        <f>","&amp;_xlfn.TEXTJOIN(",",TRUE,$F$69:$K$69)&amp;","</f>
      </c>
      <c r="AA69" s="23">
        <f t="array" ref="AA69">IFERROR(INDEX($B$119:$B$131,SMALL(IF(INDEX($C$119:$R$131,0,MATCH($U$69,$C$118:$R$118,0))=1,ROW($B$119:$B$131)-ROW($B$119)+1),1)),"")</f>
      </c>
      <c r="AB69" s="23">
        <f t="array" ref="AB69">IFERROR(INDEX($B$119:$B$131,SMALL(IF(INDEX($C$119:$R$131,0,MATCH($U$69,$C$118:$R$118,0))=1,ROW($B$119:$B$131)-ROW($B$119)+1),2)),"")</f>
      </c>
      <c r="AC69" s="23">
        <f t="array" ref="AC69">IFERROR(INDEX($B$119:$B$131,SMALL(IF(INDEX($C$119:$R$131,0,MATCH($U$69,$C$118:$R$118,0))=1,ROW($B$119:$B$131)-ROW($B$119)+1),3)),"")</f>
      </c>
      <c r="AD69" s="23">
        <f t="array" ref="AD69">IFERROR(INDEX($B$119:$B$131,SMALL(IF(INDEX($C$119:$R$131,0,MATCH($U$69,$C$118:$R$118,0))=1,ROW($B$119:$B$131)-ROW($B$119)+1),4)),"")</f>
      </c>
      <c r="AE69" s="23">
        <f t="array" ref="AE69">IFERROR(INDEX($B$119:$B$131,SMALL(IF(INDEX($C$119:$R$131,0,MATCH($U$69,$C$118:$R$118,0))=1,ROW($B$119:$B$131)-ROW($B$119)+1),5)),"")</f>
      </c>
      <c r="AF69" s="23">
        <f t="array" ref="AF69">IFERROR(INDEX($B$119:$B$131,SMALL(IF(INDEX($C$119:$R$131,0,MATCH($U$69,$C$118:$R$118,0))=1,ROW($B$119:$B$131)-ROW($B$119)+1),6)),"")</f>
      </c>
      <c r="AG69" s="23">
        <f t="array" ref="AG69">IFERROR(INDEX($B$119:$B$131,SMALL(IF(INDEX($C$119:$R$131,0,MATCH($U$69,$C$118:$R$118,0))=1,ROW($B$119:$B$131)-ROW($B$119)+1),7)),"")</f>
      </c>
      <c r="AH69" s="23">
        <f t="array" ref="AH69">IFERROR(INDEX($B$119:$B$131,SMALL(IF(INDEX($C$119:$R$131,0,MATCH($U$69,$C$118:$R$118,0))=1,ROW($B$119:$B$131)-ROW($B$119)+1),8)),"")</f>
      </c>
      <c r="AI69" s="23">
        <f t="array" ref="AI69">IFERROR(INDEX($B$119:$B$131,SMALL(IF(INDEX($C$119:$R$131,0,MATCH($U$69,$C$118:$R$118,0))=1,ROW($B$119:$B$131)-ROW($B$119)+1),9)),"")</f>
      </c>
      <c r="AJ69" s="23">
        <f t="array" ref="AJ69">IFERROR(INDEX($B$119:$B$131,SMALL(IF(INDEX($C$119:$R$131,0,MATCH($U$69,$C$118:$R$118,0))=1,ROW($B$119:$B$131)-ROW($B$119)+1),10)),"")</f>
      </c>
      <c r="AK69" s="23">
        <f t="array" ref="AK69">IFERROR(INDEX($B$119:$B$131,SMALL(IF(INDEX($C$119:$R$131,0,MATCH($U$69,$C$118:$R$118,0))=1,ROW($B$119:$B$131)-ROW($B$119)+1),11)),"")</f>
      </c>
      <c r="AL69" s="23">
        <f t="array" ref="AL69">IFERROR(INDEX($B$119:$B$131,SMALL(IF(INDEX($C$119:$R$131,0,MATCH($U$69,$C$118:$R$118,0))=1,ROW($B$119:$B$131)-ROW($B$119)+1),12)),"")</f>
      </c>
      <c r="AM69" s="23">
        <f t="array" ref="AM69">IFERROR(INDEX($B$119:$B$131,SMALL(IF(INDEX($C$119:$R$131,0,MATCH($U$69,$C$118:$R$118,0))=1,ROW($B$119:$B$131)-ROW($B$119)+1),13)),"")</f>
      </c>
    </row>
    <row r="70">
      <c r="A70" t="s" s="21">
        <v>109</v>
      </c>
      <c r="B70" t="s" s="21">
        <v>109</v>
      </c>
      <c r="C70" t="s" s="21">
        <v>109</v>
      </c>
      <c r="D70" t="s" s="20">
        <v>109</v>
      </c>
      <c r="E70" t="s" s="20">
        <v>109</v>
      </c>
      <c r="F70" t="s" s="20">
        <v>109</v>
      </c>
      <c r="G70" t="s" s="20">
        <v>109</v>
      </c>
      <c r="H70" t="s" s="20">
        <v>109</v>
      </c>
      <c r="I70" t="s" s="20">
        <v>109</v>
      </c>
      <c r="J70" t="s" s="20">
        <v>109</v>
      </c>
      <c r="K70" t="s" s="20">
        <v>109</v>
      </c>
      <c r="U70" s="23">
        <f>IF($A$70="","",$A$70&amp;"|"&amp;$B$70&amp;"|"&amp;$C$70)</f>
      </c>
      <c r="V70" s="23">
        <f>COUNTA($F$70:$K$70)</f>
      </c>
      <c r="W70" s="23">
        <f>IF($D$70="","OK",IFERROR(UPPER(INDIRECT("'Famille - "&amp;$D$70&amp;"'!"&amp;ADDRESS(10,(2+IF($A$70="Paire",0,1)*8+(MATCH($B$70,{"Lundi","Mardi","Jeudi","Vendredi"},0)-1)*2+IF($C$70="Matin",0,1))))),"OK"))</f>
      </c>
      <c r="X70" s="23">
        <f>IF($D$70="",0,IFERROR(INDIRECT("'Famille - "&amp;$D$70&amp;"'!"&amp;"$B$5"),0))</f>
      </c>
      <c r="Y70" s="23">
        <f>IF($V$70&gt;$X$70,$V$70-$X$70,0)</f>
      </c>
      <c r="Z70" s="23">
        <f>","&amp;_xlfn.TEXTJOIN(",",TRUE,$F$70:$K$70)&amp;","</f>
      </c>
      <c r="AA70" s="23">
        <f t="array" ref="AA70">IFERROR(INDEX($B$119:$B$131,SMALL(IF(INDEX($C$119:$R$131,0,MATCH($U$70,$C$118:$R$118,0))=1,ROW($B$119:$B$131)-ROW($B$119)+1),1)),"")</f>
      </c>
      <c r="AB70" s="23">
        <f t="array" ref="AB70">IFERROR(INDEX($B$119:$B$131,SMALL(IF(INDEX($C$119:$R$131,0,MATCH($U$70,$C$118:$R$118,0))=1,ROW($B$119:$B$131)-ROW($B$119)+1),2)),"")</f>
      </c>
      <c r="AC70" s="23">
        <f t="array" ref="AC70">IFERROR(INDEX($B$119:$B$131,SMALL(IF(INDEX($C$119:$R$131,0,MATCH($U$70,$C$118:$R$118,0))=1,ROW($B$119:$B$131)-ROW($B$119)+1),3)),"")</f>
      </c>
      <c r="AD70" s="23">
        <f t="array" ref="AD70">IFERROR(INDEX($B$119:$B$131,SMALL(IF(INDEX($C$119:$R$131,0,MATCH($U$70,$C$118:$R$118,0))=1,ROW($B$119:$B$131)-ROW($B$119)+1),4)),"")</f>
      </c>
      <c r="AE70" s="23">
        <f t="array" ref="AE70">IFERROR(INDEX($B$119:$B$131,SMALL(IF(INDEX($C$119:$R$131,0,MATCH($U$70,$C$118:$R$118,0))=1,ROW($B$119:$B$131)-ROW($B$119)+1),5)),"")</f>
      </c>
      <c r="AF70" s="23">
        <f t="array" ref="AF70">IFERROR(INDEX($B$119:$B$131,SMALL(IF(INDEX($C$119:$R$131,0,MATCH($U$70,$C$118:$R$118,0))=1,ROW($B$119:$B$131)-ROW($B$119)+1),6)),"")</f>
      </c>
      <c r="AG70" s="23">
        <f t="array" ref="AG70">IFERROR(INDEX($B$119:$B$131,SMALL(IF(INDEX($C$119:$R$131,0,MATCH($U$70,$C$118:$R$118,0))=1,ROW($B$119:$B$131)-ROW($B$119)+1),7)),"")</f>
      </c>
      <c r="AH70" s="23">
        <f t="array" ref="AH70">IFERROR(INDEX($B$119:$B$131,SMALL(IF(INDEX($C$119:$R$131,0,MATCH($U$70,$C$118:$R$118,0))=1,ROW($B$119:$B$131)-ROW($B$119)+1),8)),"")</f>
      </c>
      <c r="AI70" s="23">
        <f t="array" ref="AI70">IFERROR(INDEX($B$119:$B$131,SMALL(IF(INDEX($C$119:$R$131,0,MATCH($U$70,$C$118:$R$118,0))=1,ROW($B$119:$B$131)-ROW($B$119)+1),9)),"")</f>
      </c>
      <c r="AJ70" s="23">
        <f t="array" ref="AJ70">IFERROR(INDEX($B$119:$B$131,SMALL(IF(INDEX($C$119:$R$131,0,MATCH($U$70,$C$118:$R$118,0))=1,ROW($B$119:$B$131)-ROW($B$119)+1),10)),"")</f>
      </c>
      <c r="AK70" s="23">
        <f t="array" ref="AK70">IFERROR(INDEX($B$119:$B$131,SMALL(IF(INDEX($C$119:$R$131,0,MATCH($U$70,$C$118:$R$118,0))=1,ROW($B$119:$B$131)-ROW($B$119)+1),11)),"")</f>
      </c>
      <c r="AL70" s="23">
        <f t="array" ref="AL70">IFERROR(INDEX($B$119:$B$131,SMALL(IF(INDEX($C$119:$R$131,0,MATCH($U$70,$C$118:$R$118,0))=1,ROW($B$119:$B$131)-ROW($B$119)+1),12)),"")</f>
      </c>
      <c r="AM70" s="23">
        <f t="array" ref="AM70">IFERROR(INDEX($B$119:$B$131,SMALL(IF(INDEX($C$119:$R$131,0,MATCH($U$70,$C$118:$R$118,0))=1,ROW($B$119:$B$131)-ROW($B$119)+1),13)),"")</f>
      </c>
    </row>
    <row r="71">
      <c r="A71" t="s" s="21">
        <v>109</v>
      </c>
      <c r="B71" t="s" s="21">
        <v>109</v>
      </c>
      <c r="C71" t="s" s="21">
        <v>109</v>
      </c>
      <c r="D71" t="s" s="20">
        <v>109</v>
      </c>
      <c r="E71" t="s" s="20">
        <v>109</v>
      </c>
      <c r="F71" t="s" s="20">
        <v>109</v>
      </c>
      <c r="G71" t="s" s="20">
        <v>109</v>
      </c>
      <c r="H71" t="s" s="20">
        <v>109</v>
      </c>
      <c r="I71" t="s" s="20">
        <v>109</v>
      </c>
      <c r="J71" t="s" s="20">
        <v>109</v>
      </c>
      <c r="K71" t="s" s="20">
        <v>109</v>
      </c>
      <c r="U71" s="23">
        <f>IF($A$71="","",$A$71&amp;"|"&amp;$B$71&amp;"|"&amp;$C$71)</f>
      </c>
      <c r="V71" s="23">
        <f>COUNTA($F$71:$K$71)</f>
      </c>
      <c r="W71" s="23">
        <f>IF($D$71="","OK",IFERROR(UPPER(INDIRECT("'Famille - "&amp;$D$71&amp;"'!"&amp;ADDRESS(10,(2+IF($A$71="Paire",0,1)*8+(MATCH($B$71,{"Lundi","Mardi","Jeudi","Vendredi"},0)-1)*2+IF($C$71="Matin",0,1))))),"OK"))</f>
      </c>
      <c r="X71" s="23">
        <f>IF($D$71="",0,IFERROR(INDIRECT("'Famille - "&amp;$D$71&amp;"'!"&amp;"$B$5"),0))</f>
      </c>
      <c r="Y71" s="23">
        <f>IF($V$71&gt;$X$71,$V$71-$X$71,0)</f>
      </c>
      <c r="Z71" s="23">
        <f>","&amp;_xlfn.TEXTJOIN(",",TRUE,$F$71:$K$71)&amp;","</f>
      </c>
      <c r="AA71" s="23">
        <f t="array" ref="AA71">IFERROR(INDEX($B$119:$B$131,SMALL(IF(INDEX($C$119:$R$131,0,MATCH($U$71,$C$118:$R$118,0))=1,ROW($B$119:$B$131)-ROW($B$119)+1),1)),"")</f>
      </c>
      <c r="AB71" s="23">
        <f t="array" ref="AB71">IFERROR(INDEX($B$119:$B$131,SMALL(IF(INDEX($C$119:$R$131,0,MATCH($U$71,$C$118:$R$118,0))=1,ROW($B$119:$B$131)-ROW($B$119)+1),2)),"")</f>
      </c>
      <c r="AC71" s="23">
        <f t="array" ref="AC71">IFERROR(INDEX($B$119:$B$131,SMALL(IF(INDEX($C$119:$R$131,0,MATCH($U$71,$C$118:$R$118,0))=1,ROW($B$119:$B$131)-ROW($B$119)+1),3)),"")</f>
      </c>
      <c r="AD71" s="23">
        <f t="array" ref="AD71">IFERROR(INDEX($B$119:$B$131,SMALL(IF(INDEX($C$119:$R$131,0,MATCH($U$71,$C$118:$R$118,0))=1,ROW($B$119:$B$131)-ROW($B$119)+1),4)),"")</f>
      </c>
      <c r="AE71" s="23">
        <f t="array" ref="AE71">IFERROR(INDEX($B$119:$B$131,SMALL(IF(INDEX($C$119:$R$131,0,MATCH($U$71,$C$118:$R$118,0))=1,ROW($B$119:$B$131)-ROW($B$119)+1),5)),"")</f>
      </c>
      <c r="AF71" s="23">
        <f t="array" ref="AF71">IFERROR(INDEX($B$119:$B$131,SMALL(IF(INDEX($C$119:$R$131,0,MATCH($U$71,$C$118:$R$118,0))=1,ROW($B$119:$B$131)-ROW($B$119)+1),6)),"")</f>
      </c>
      <c r="AG71" s="23">
        <f t="array" ref="AG71">IFERROR(INDEX($B$119:$B$131,SMALL(IF(INDEX($C$119:$R$131,0,MATCH($U$71,$C$118:$R$118,0))=1,ROW($B$119:$B$131)-ROW($B$119)+1),7)),"")</f>
      </c>
      <c r="AH71" s="23">
        <f t="array" ref="AH71">IFERROR(INDEX($B$119:$B$131,SMALL(IF(INDEX($C$119:$R$131,0,MATCH($U$71,$C$118:$R$118,0))=1,ROW($B$119:$B$131)-ROW($B$119)+1),8)),"")</f>
      </c>
      <c r="AI71" s="23">
        <f t="array" ref="AI71">IFERROR(INDEX($B$119:$B$131,SMALL(IF(INDEX($C$119:$R$131,0,MATCH($U$71,$C$118:$R$118,0))=1,ROW($B$119:$B$131)-ROW($B$119)+1),9)),"")</f>
      </c>
      <c r="AJ71" s="23">
        <f t="array" ref="AJ71">IFERROR(INDEX($B$119:$B$131,SMALL(IF(INDEX($C$119:$R$131,0,MATCH($U$71,$C$118:$R$118,0))=1,ROW($B$119:$B$131)-ROW($B$119)+1),10)),"")</f>
      </c>
      <c r="AK71" s="23">
        <f t="array" ref="AK71">IFERROR(INDEX($B$119:$B$131,SMALL(IF(INDEX($C$119:$R$131,0,MATCH($U$71,$C$118:$R$118,0))=1,ROW($B$119:$B$131)-ROW($B$119)+1),11)),"")</f>
      </c>
      <c r="AL71" s="23">
        <f t="array" ref="AL71">IFERROR(INDEX($B$119:$B$131,SMALL(IF(INDEX($C$119:$R$131,0,MATCH($U$71,$C$118:$R$118,0))=1,ROW($B$119:$B$131)-ROW($B$119)+1),12)),"")</f>
      </c>
      <c r="AM71" s="23">
        <f t="array" ref="AM71">IFERROR(INDEX($B$119:$B$131,SMALL(IF(INDEX($C$119:$R$131,0,MATCH($U$71,$C$118:$R$118,0))=1,ROW($B$119:$B$131)-ROW($B$119)+1),13)),"")</f>
      </c>
    </row>
    <row r="72">
      <c r="A72" t="s" s="21">
        <v>109</v>
      </c>
      <c r="B72" t="s" s="21">
        <v>109</v>
      </c>
      <c r="C72" t="s" s="21">
        <v>109</v>
      </c>
      <c r="D72" t="s" s="20">
        <v>109</v>
      </c>
      <c r="E72" t="s" s="20">
        <v>109</v>
      </c>
      <c r="F72" t="s" s="20">
        <v>109</v>
      </c>
      <c r="G72" t="s" s="20">
        <v>109</v>
      </c>
      <c r="H72" t="s" s="20">
        <v>109</v>
      </c>
      <c r="I72" t="s" s="20">
        <v>109</v>
      </c>
      <c r="J72" t="s" s="20">
        <v>109</v>
      </c>
      <c r="K72" t="s" s="20">
        <v>109</v>
      </c>
      <c r="U72" s="23">
        <f>IF($A$72="","",$A$72&amp;"|"&amp;$B$72&amp;"|"&amp;$C$72)</f>
      </c>
      <c r="V72" s="23">
        <f>COUNTA($F$72:$K$72)</f>
      </c>
      <c r="W72" s="23">
        <f>IF($D$72="","OK",IFERROR(UPPER(INDIRECT("'Famille - "&amp;$D$72&amp;"'!"&amp;ADDRESS(10,(2+IF($A$72="Paire",0,1)*8+(MATCH($B$72,{"Lundi","Mardi","Jeudi","Vendredi"},0)-1)*2+IF($C$72="Matin",0,1))))),"OK"))</f>
      </c>
      <c r="X72" s="23">
        <f>IF($D$72="",0,IFERROR(INDIRECT("'Famille - "&amp;$D$72&amp;"'!"&amp;"$B$5"),0))</f>
      </c>
      <c r="Y72" s="23">
        <f>IF($V$72&gt;$X$72,$V$72-$X$72,0)</f>
      </c>
      <c r="Z72" s="23">
        <f>","&amp;_xlfn.TEXTJOIN(",",TRUE,$F$72:$K$72)&amp;","</f>
      </c>
      <c r="AA72" s="23">
        <f t="array" ref="AA72">IFERROR(INDEX($B$119:$B$131,SMALL(IF(INDEX($C$119:$R$131,0,MATCH($U$72,$C$118:$R$118,0))=1,ROW($B$119:$B$131)-ROW($B$119)+1),1)),"")</f>
      </c>
      <c r="AB72" s="23">
        <f t="array" ref="AB72">IFERROR(INDEX($B$119:$B$131,SMALL(IF(INDEX($C$119:$R$131,0,MATCH($U$72,$C$118:$R$118,0))=1,ROW($B$119:$B$131)-ROW($B$119)+1),2)),"")</f>
      </c>
      <c r="AC72" s="23">
        <f t="array" ref="AC72">IFERROR(INDEX($B$119:$B$131,SMALL(IF(INDEX($C$119:$R$131,0,MATCH($U$72,$C$118:$R$118,0))=1,ROW($B$119:$B$131)-ROW($B$119)+1),3)),"")</f>
      </c>
      <c r="AD72" s="23">
        <f t="array" ref="AD72">IFERROR(INDEX($B$119:$B$131,SMALL(IF(INDEX($C$119:$R$131,0,MATCH($U$72,$C$118:$R$118,0))=1,ROW($B$119:$B$131)-ROW($B$119)+1),4)),"")</f>
      </c>
      <c r="AE72" s="23">
        <f t="array" ref="AE72">IFERROR(INDEX($B$119:$B$131,SMALL(IF(INDEX($C$119:$R$131,0,MATCH($U$72,$C$118:$R$118,0))=1,ROW($B$119:$B$131)-ROW($B$119)+1),5)),"")</f>
      </c>
      <c r="AF72" s="23">
        <f t="array" ref="AF72">IFERROR(INDEX($B$119:$B$131,SMALL(IF(INDEX($C$119:$R$131,0,MATCH($U$72,$C$118:$R$118,0))=1,ROW($B$119:$B$131)-ROW($B$119)+1),6)),"")</f>
      </c>
      <c r="AG72" s="23">
        <f t="array" ref="AG72">IFERROR(INDEX($B$119:$B$131,SMALL(IF(INDEX($C$119:$R$131,0,MATCH($U$72,$C$118:$R$118,0))=1,ROW($B$119:$B$131)-ROW($B$119)+1),7)),"")</f>
      </c>
      <c r="AH72" s="23">
        <f t="array" ref="AH72">IFERROR(INDEX($B$119:$B$131,SMALL(IF(INDEX($C$119:$R$131,0,MATCH($U$72,$C$118:$R$118,0))=1,ROW($B$119:$B$131)-ROW($B$119)+1),8)),"")</f>
      </c>
      <c r="AI72" s="23">
        <f t="array" ref="AI72">IFERROR(INDEX($B$119:$B$131,SMALL(IF(INDEX($C$119:$R$131,0,MATCH($U$72,$C$118:$R$118,0))=1,ROW($B$119:$B$131)-ROW($B$119)+1),9)),"")</f>
      </c>
      <c r="AJ72" s="23">
        <f t="array" ref="AJ72">IFERROR(INDEX($B$119:$B$131,SMALL(IF(INDEX($C$119:$R$131,0,MATCH($U$72,$C$118:$R$118,0))=1,ROW($B$119:$B$131)-ROW($B$119)+1),10)),"")</f>
      </c>
      <c r="AK72" s="23">
        <f t="array" ref="AK72">IFERROR(INDEX($B$119:$B$131,SMALL(IF(INDEX($C$119:$R$131,0,MATCH($U$72,$C$118:$R$118,0))=1,ROW($B$119:$B$131)-ROW($B$119)+1),11)),"")</f>
      </c>
      <c r="AL72" s="23">
        <f t="array" ref="AL72">IFERROR(INDEX($B$119:$B$131,SMALL(IF(INDEX($C$119:$R$131,0,MATCH($U$72,$C$118:$R$118,0))=1,ROW($B$119:$B$131)-ROW($B$119)+1),12)),"")</f>
      </c>
      <c r="AM72" s="23">
        <f t="array" ref="AM72">IFERROR(INDEX($B$119:$B$131,SMALL(IF(INDEX($C$119:$R$131,0,MATCH($U$72,$C$118:$R$118,0))=1,ROW($B$119:$B$131)-ROW($B$119)+1),13)),"")</f>
      </c>
    </row>
    <row r="73">
      <c r="A73" t="s" s="21">
        <v>109</v>
      </c>
      <c r="B73" t="s" s="21">
        <v>109</v>
      </c>
      <c r="C73" t="s" s="21">
        <v>109</v>
      </c>
      <c r="D73" t="s" s="20">
        <v>109</v>
      </c>
      <c r="E73" t="s" s="20">
        <v>109</v>
      </c>
      <c r="F73" t="s" s="20">
        <v>109</v>
      </c>
      <c r="G73" t="s" s="20">
        <v>109</v>
      </c>
      <c r="H73" t="s" s="20">
        <v>109</v>
      </c>
      <c r="I73" t="s" s="20">
        <v>109</v>
      </c>
      <c r="J73" t="s" s="20">
        <v>109</v>
      </c>
      <c r="K73" t="s" s="20">
        <v>109</v>
      </c>
      <c r="U73" s="23">
        <f>IF($A$73="","",$A$73&amp;"|"&amp;$B$73&amp;"|"&amp;$C$73)</f>
      </c>
      <c r="V73" s="23">
        <f>COUNTA($F$73:$K$73)</f>
      </c>
      <c r="W73" s="23">
        <f>IF($D$73="","OK",IFERROR(UPPER(INDIRECT("'Famille - "&amp;$D$73&amp;"'!"&amp;ADDRESS(10,(2+IF($A$73="Paire",0,1)*8+(MATCH($B$73,{"Lundi","Mardi","Jeudi","Vendredi"},0)-1)*2+IF($C$73="Matin",0,1))))),"OK"))</f>
      </c>
      <c r="X73" s="23">
        <f>IF($D$73="",0,IFERROR(INDIRECT("'Famille - "&amp;$D$73&amp;"'!"&amp;"$B$5"),0))</f>
      </c>
      <c r="Y73" s="23">
        <f>IF($V$73&gt;$X$73,$V$73-$X$73,0)</f>
      </c>
      <c r="Z73" s="23">
        <f>","&amp;_xlfn.TEXTJOIN(",",TRUE,$F$73:$K$73)&amp;","</f>
      </c>
      <c r="AA73" s="23">
        <f t="array" ref="AA73">IFERROR(INDEX($B$119:$B$131,SMALL(IF(INDEX($C$119:$R$131,0,MATCH($U$73,$C$118:$R$118,0))=1,ROW($B$119:$B$131)-ROW($B$119)+1),1)),"")</f>
      </c>
      <c r="AB73" s="23">
        <f t="array" ref="AB73">IFERROR(INDEX($B$119:$B$131,SMALL(IF(INDEX($C$119:$R$131,0,MATCH($U$73,$C$118:$R$118,0))=1,ROW($B$119:$B$131)-ROW($B$119)+1),2)),"")</f>
      </c>
      <c r="AC73" s="23">
        <f t="array" ref="AC73">IFERROR(INDEX($B$119:$B$131,SMALL(IF(INDEX($C$119:$R$131,0,MATCH($U$73,$C$118:$R$118,0))=1,ROW($B$119:$B$131)-ROW($B$119)+1),3)),"")</f>
      </c>
      <c r="AD73" s="23">
        <f t="array" ref="AD73">IFERROR(INDEX($B$119:$B$131,SMALL(IF(INDEX($C$119:$R$131,0,MATCH($U$73,$C$118:$R$118,0))=1,ROW($B$119:$B$131)-ROW($B$119)+1),4)),"")</f>
      </c>
      <c r="AE73" s="23">
        <f t="array" ref="AE73">IFERROR(INDEX($B$119:$B$131,SMALL(IF(INDEX($C$119:$R$131,0,MATCH($U$73,$C$118:$R$118,0))=1,ROW($B$119:$B$131)-ROW($B$119)+1),5)),"")</f>
      </c>
      <c r="AF73" s="23">
        <f t="array" ref="AF73">IFERROR(INDEX($B$119:$B$131,SMALL(IF(INDEX($C$119:$R$131,0,MATCH($U$73,$C$118:$R$118,0))=1,ROW($B$119:$B$131)-ROW($B$119)+1),6)),"")</f>
      </c>
      <c r="AG73" s="23">
        <f t="array" ref="AG73">IFERROR(INDEX($B$119:$B$131,SMALL(IF(INDEX($C$119:$R$131,0,MATCH($U$73,$C$118:$R$118,0))=1,ROW($B$119:$B$131)-ROW($B$119)+1),7)),"")</f>
      </c>
      <c r="AH73" s="23">
        <f t="array" ref="AH73">IFERROR(INDEX($B$119:$B$131,SMALL(IF(INDEX($C$119:$R$131,0,MATCH($U$73,$C$118:$R$118,0))=1,ROW($B$119:$B$131)-ROW($B$119)+1),8)),"")</f>
      </c>
      <c r="AI73" s="23">
        <f t="array" ref="AI73">IFERROR(INDEX($B$119:$B$131,SMALL(IF(INDEX($C$119:$R$131,0,MATCH($U$73,$C$118:$R$118,0))=1,ROW($B$119:$B$131)-ROW($B$119)+1),9)),"")</f>
      </c>
      <c r="AJ73" s="23">
        <f t="array" ref="AJ73">IFERROR(INDEX($B$119:$B$131,SMALL(IF(INDEX($C$119:$R$131,0,MATCH($U$73,$C$118:$R$118,0))=1,ROW($B$119:$B$131)-ROW($B$119)+1),10)),"")</f>
      </c>
      <c r="AK73" s="23">
        <f t="array" ref="AK73">IFERROR(INDEX($B$119:$B$131,SMALL(IF(INDEX($C$119:$R$131,0,MATCH($U$73,$C$118:$R$118,0))=1,ROW($B$119:$B$131)-ROW($B$119)+1),11)),"")</f>
      </c>
      <c r="AL73" s="23">
        <f t="array" ref="AL73">IFERROR(INDEX($B$119:$B$131,SMALL(IF(INDEX($C$119:$R$131,0,MATCH($U$73,$C$118:$R$118,0))=1,ROW($B$119:$B$131)-ROW($B$119)+1),12)),"")</f>
      </c>
      <c r="AM73" s="23">
        <f t="array" ref="AM73">IFERROR(INDEX($B$119:$B$131,SMALL(IF(INDEX($C$119:$R$131,0,MATCH($U$73,$C$118:$R$118,0))=1,ROW($B$119:$B$131)-ROW($B$119)+1),13)),"")</f>
      </c>
    </row>
    <row r="74">
      <c r="A74" t="s" s="21">
        <v>109</v>
      </c>
      <c r="B74" t="s" s="21">
        <v>109</v>
      </c>
      <c r="C74" t="s" s="21">
        <v>109</v>
      </c>
      <c r="D74" t="s" s="20">
        <v>109</v>
      </c>
      <c r="E74" t="s" s="20">
        <v>109</v>
      </c>
      <c r="F74" t="s" s="20">
        <v>109</v>
      </c>
      <c r="G74" t="s" s="20">
        <v>109</v>
      </c>
      <c r="H74" t="s" s="20">
        <v>109</v>
      </c>
      <c r="I74" t="s" s="20">
        <v>109</v>
      </c>
      <c r="J74" t="s" s="20">
        <v>109</v>
      </c>
      <c r="K74" t="s" s="20">
        <v>109</v>
      </c>
      <c r="U74" s="23">
        <f>IF($A$74="","",$A$74&amp;"|"&amp;$B$74&amp;"|"&amp;$C$74)</f>
      </c>
      <c r="V74" s="23">
        <f>COUNTA($F$74:$K$74)</f>
      </c>
      <c r="W74" s="23">
        <f>IF($D$74="","OK",IFERROR(UPPER(INDIRECT("'Famille - "&amp;$D$74&amp;"'!"&amp;ADDRESS(10,(2+IF($A$74="Paire",0,1)*8+(MATCH($B$74,{"Lundi","Mardi","Jeudi","Vendredi"},0)-1)*2+IF($C$74="Matin",0,1))))),"OK"))</f>
      </c>
      <c r="X74" s="23">
        <f>IF($D$74="",0,IFERROR(INDIRECT("'Famille - "&amp;$D$74&amp;"'!"&amp;"$B$5"),0))</f>
      </c>
      <c r="Y74" s="23">
        <f>IF($V$74&gt;$X$74,$V$74-$X$74,0)</f>
      </c>
      <c r="Z74" s="23">
        <f>","&amp;_xlfn.TEXTJOIN(",",TRUE,$F$74:$K$74)&amp;","</f>
      </c>
      <c r="AA74" s="23">
        <f t="array" ref="AA74">IFERROR(INDEX($B$119:$B$131,SMALL(IF(INDEX($C$119:$R$131,0,MATCH($U$74,$C$118:$R$118,0))=1,ROW($B$119:$B$131)-ROW($B$119)+1),1)),"")</f>
      </c>
      <c r="AB74" s="23">
        <f t="array" ref="AB74">IFERROR(INDEX($B$119:$B$131,SMALL(IF(INDEX($C$119:$R$131,0,MATCH($U$74,$C$118:$R$118,0))=1,ROW($B$119:$B$131)-ROW($B$119)+1),2)),"")</f>
      </c>
      <c r="AC74" s="23">
        <f t="array" ref="AC74">IFERROR(INDEX($B$119:$B$131,SMALL(IF(INDEX($C$119:$R$131,0,MATCH($U$74,$C$118:$R$118,0))=1,ROW($B$119:$B$131)-ROW($B$119)+1),3)),"")</f>
      </c>
      <c r="AD74" s="23">
        <f t="array" ref="AD74">IFERROR(INDEX($B$119:$B$131,SMALL(IF(INDEX($C$119:$R$131,0,MATCH($U$74,$C$118:$R$118,0))=1,ROW($B$119:$B$131)-ROW($B$119)+1),4)),"")</f>
      </c>
      <c r="AE74" s="23">
        <f t="array" ref="AE74">IFERROR(INDEX($B$119:$B$131,SMALL(IF(INDEX($C$119:$R$131,0,MATCH($U$74,$C$118:$R$118,0))=1,ROW($B$119:$B$131)-ROW($B$119)+1),5)),"")</f>
      </c>
      <c r="AF74" s="23">
        <f t="array" ref="AF74">IFERROR(INDEX($B$119:$B$131,SMALL(IF(INDEX($C$119:$R$131,0,MATCH($U$74,$C$118:$R$118,0))=1,ROW($B$119:$B$131)-ROW($B$119)+1),6)),"")</f>
      </c>
      <c r="AG74" s="23">
        <f t="array" ref="AG74">IFERROR(INDEX($B$119:$B$131,SMALL(IF(INDEX($C$119:$R$131,0,MATCH($U$74,$C$118:$R$118,0))=1,ROW($B$119:$B$131)-ROW($B$119)+1),7)),"")</f>
      </c>
      <c r="AH74" s="23">
        <f t="array" ref="AH74">IFERROR(INDEX($B$119:$B$131,SMALL(IF(INDEX($C$119:$R$131,0,MATCH($U$74,$C$118:$R$118,0))=1,ROW($B$119:$B$131)-ROW($B$119)+1),8)),"")</f>
      </c>
      <c r="AI74" s="23">
        <f t="array" ref="AI74">IFERROR(INDEX($B$119:$B$131,SMALL(IF(INDEX($C$119:$R$131,0,MATCH($U$74,$C$118:$R$118,0))=1,ROW($B$119:$B$131)-ROW($B$119)+1),9)),"")</f>
      </c>
      <c r="AJ74" s="23">
        <f t="array" ref="AJ74">IFERROR(INDEX($B$119:$B$131,SMALL(IF(INDEX($C$119:$R$131,0,MATCH($U$74,$C$118:$R$118,0))=1,ROW($B$119:$B$131)-ROW($B$119)+1),10)),"")</f>
      </c>
      <c r="AK74" s="23">
        <f t="array" ref="AK74">IFERROR(INDEX($B$119:$B$131,SMALL(IF(INDEX($C$119:$R$131,0,MATCH($U$74,$C$118:$R$118,0))=1,ROW($B$119:$B$131)-ROW($B$119)+1),11)),"")</f>
      </c>
      <c r="AL74" s="23">
        <f t="array" ref="AL74">IFERROR(INDEX($B$119:$B$131,SMALL(IF(INDEX($C$119:$R$131,0,MATCH($U$74,$C$118:$R$118,0))=1,ROW($B$119:$B$131)-ROW($B$119)+1),12)),"")</f>
      </c>
      <c r="AM74" s="23">
        <f t="array" ref="AM74">IFERROR(INDEX($B$119:$B$131,SMALL(IF(INDEX($C$119:$R$131,0,MATCH($U$74,$C$118:$R$118,0))=1,ROW($B$119:$B$131)-ROW($B$119)+1),13)),"")</f>
      </c>
    </row>
    <row r="76">
      <c r="A76" t="s" s="13">
        <v>146</v>
      </c>
      <c r="B76" t="s" s="12">
        <v>147</v>
      </c>
      <c r="C76" t="s" s="12">
        <v>148</v>
      </c>
      <c r="D76" t="s" s="12">
        <v>149</v>
      </c>
      <c r="E76" t="s" s="12">
        <v>150</v>
      </c>
      <c r="F76" t="s" s="12">
        <v>151</v>
      </c>
      <c r="G76" t="s" s="12">
        <v>152</v>
      </c>
      <c r="H76" t="s" s="12">
        <v>153</v>
      </c>
      <c r="I76" t="s" s="12">
        <v>154</v>
      </c>
    </row>
    <row r="77">
      <c r="A77" t="s" s="14">
        <v>125</v>
      </c>
      <c r="B77" s="16">
        <f>COUNTIF($D$5:$D$74,$A$77)/2</f>
      </c>
      <c r="C77" t="n" s="16">
        <v>1.0</v>
      </c>
      <c r="D77" s="16">
        <f>ABS($B$77-$C$77)</f>
      </c>
      <c r="E77" s="16">
        <f>IF(OR($H$77&gt;0,$I$77&gt;0),0,MAX(0,MIN(1,1-(MIN(1,IF($C$77&lt;=0,IF($B$77=0,0,1),$D$77/$C$77))*0.8)-(MIN(0.15,$F$77*0.05))+(IF(AND($G$77&gt;0,$F$77=0),MIN(0.05,$G$77*0.01),0)))))</f>
      </c>
      <c r="F77" s="18">
        <f>COUNTIFS($D$5:$D$74,$A$77,$W$5:$W$74,"EVITER")</f>
      </c>
      <c r="G77" s="18">
        <f>COUNTIFS($D$5:$D$74,$A$77,$W$5:$W$74,"PREFERE")</f>
      </c>
      <c r="H77" s="18">
        <f>COUNTIFS($D$5:$D$74,$A$77,$W$5:$W$74,"IMPOSSIBLE")</f>
      </c>
      <c r="I77" s="18">
        <f>SUMIF($A$119:$A$131,$A$77,$S$119:$S$131)</f>
      </c>
    </row>
    <row r="78">
      <c r="A78" t="s" s="15">
        <v>112</v>
      </c>
      <c r="B78" s="17">
        <f>COUNTIF($D$5:$D$74,$A$78)/2</f>
      </c>
      <c r="C78" t="n" s="17">
        <v>2.0</v>
      </c>
      <c r="D78" s="17">
        <f>ABS($B$78-$C$78)</f>
      </c>
      <c r="E78" s="17">
        <f>IF(OR($H$78&gt;0,$I$78&gt;0),0,MAX(0,MIN(1,1-(MIN(1,IF($C$78&lt;=0,IF($B$78=0,0,1),$D$78/$C$78))*0.8)-(MIN(0.15,$F$78*0.05))+(IF(AND($G$78&gt;0,$F$78=0),MIN(0.05,$G$78*0.01),0)))))</f>
      </c>
      <c r="F78" s="19">
        <f>COUNTIFS($D$5:$D$74,$A$78,$W$5:$W$74,"EVITER")</f>
      </c>
      <c r="G78" s="19">
        <f>COUNTIFS($D$5:$D$74,$A$78,$W$5:$W$74,"PREFERE")</f>
      </c>
      <c r="H78" s="19">
        <f>COUNTIFS($D$5:$D$74,$A$78,$W$5:$W$74,"IMPOSSIBLE")</f>
      </c>
      <c r="I78" s="19">
        <f>SUMIF($A$119:$A$131,$A$78,$S$119:$S$131)</f>
      </c>
    </row>
    <row r="79">
      <c r="A79" t="s" s="14">
        <v>113</v>
      </c>
      <c r="B79" s="16">
        <f>COUNTIF($D$5:$D$74,$A$79)/2</f>
      </c>
      <c r="C79" t="n" s="16">
        <v>2.0</v>
      </c>
      <c r="D79" s="16">
        <f>ABS($B$79-$C$79)</f>
      </c>
      <c r="E79" s="16">
        <f>IF(OR($H$79&gt;0,$I$79&gt;0),0,MAX(0,MIN(1,1-(MIN(1,IF($C$79&lt;=0,IF($B$79=0,0,1),$D$79/$C$79))*0.8)-(MIN(0.15,$F$79*0.05))+(IF(AND($G$79&gt;0,$F$79=0),MIN(0.05,$G$79*0.01),0)))))</f>
      </c>
      <c r="F79" s="18">
        <f>COUNTIFS($D$5:$D$74,$A$79,$W$5:$W$74,"EVITER")</f>
      </c>
      <c r="G79" s="18">
        <f>COUNTIFS($D$5:$D$74,$A$79,$W$5:$W$74,"PREFERE")</f>
      </c>
      <c r="H79" s="18">
        <f>COUNTIFS($D$5:$D$74,$A$79,$W$5:$W$74,"IMPOSSIBLE")</f>
      </c>
      <c r="I79" s="18">
        <f>SUMIF($A$119:$A$131,$A$79,$S$119:$S$131)</f>
      </c>
    </row>
    <row r="80">
      <c r="A80" t="s" s="15">
        <v>114</v>
      </c>
      <c r="B80" s="17">
        <f>COUNTIF($D$5:$D$74,$A$80)/2</f>
      </c>
      <c r="C80" t="n" s="17">
        <v>2.0</v>
      </c>
      <c r="D80" s="17">
        <f>ABS($B$80-$C$80)</f>
      </c>
      <c r="E80" s="17">
        <f>IF(OR($H$80&gt;0,$I$80&gt;0),0,MAX(0,MIN(1,1-(MIN(1,IF($C$80&lt;=0,IF($B$80=0,0,1),$D$80/$C$80))*0.8)-(MIN(0.15,$F$80*0.05))+(IF(AND($G$80&gt;0,$F$80=0),MIN(0.05,$G$80*0.01),0)))))</f>
      </c>
      <c r="F80" s="19">
        <f>COUNTIFS($D$5:$D$74,$A$80,$W$5:$W$74,"EVITER")</f>
      </c>
      <c r="G80" s="19">
        <f>COUNTIFS($D$5:$D$74,$A$80,$W$5:$W$74,"PREFERE")</f>
      </c>
      <c r="H80" s="19">
        <f>COUNTIFS($D$5:$D$74,$A$80,$W$5:$W$74,"IMPOSSIBLE")</f>
      </c>
      <c r="I80" s="19">
        <f>SUMIF($A$119:$A$131,$A$80,$S$119:$S$131)</f>
      </c>
    </row>
    <row r="81">
      <c r="A81" t="s" s="14">
        <v>120</v>
      </c>
      <c r="B81" s="16">
        <f>COUNTIF($D$5:$D$74,$A$81)/2</f>
      </c>
      <c r="C81" t="n" s="16">
        <v>2.0</v>
      </c>
      <c r="D81" s="16">
        <f>ABS($B$81-$C$81)</f>
      </c>
      <c r="E81" s="16">
        <f>IF(OR($H$81&gt;0,$I$81&gt;0),0,MAX(0,MIN(1,1-(MIN(1,IF($C$81&lt;=0,IF($B$81=0,0,1),$D$81/$C$81))*0.8)-(MIN(0.15,$F$81*0.05))+(IF(AND($G$81&gt;0,$F$81=0),MIN(0.05,$G$81*0.01),0)))))</f>
      </c>
      <c r="F81" s="18">
        <f>COUNTIFS($D$5:$D$74,$A$81,$W$5:$W$74,"EVITER")</f>
      </c>
      <c r="G81" s="18">
        <f>COUNTIFS($D$5:$D$74,$A$81,$W$5:$W$74,"PREFERE")</f>
      </c>
      <c r="H81" s="18">
        <f>COUNTIFS($D$5:$D$74,$A$81,$W$5:$W$74,"IMPOSSIBLE")</f>
      </c>
      <c r="I81" s="18">
        <f>SUMIF($A$119:$A$131,$A$81,$S$119:$S$131)</f>
      </c>
    </row>
    <row r="82">
      <c r="A82" t="s" s="15">
        <v>118</v>
      </c>
      <c r="B82" s="17">
        <f>COUNTIF($D$5:$D$74,$A$82)/2</f>
      </c>
      <c r="C82" t="n" s="17">
        <v>1.0</v>
      </c>
      <c r="D82" s="17">
        <f>ABS($B$82-$C$82)</f>
      </c>
      <c r="E82" s="17">
        <f>IF(OR($H$82&gt;0,$I$82&gt;0),0,MAX(0,MIN(1,1-(MIN(1,IF($C$82&lt;=0,IF($B$82=0,0,1),$D$82/$C$82))*0.8)-(MIN(0.15,$F$82*0.05))+(IF(AND($G$82&gt;0,$F$82=0),MIN(0.05,$G$82*0.01),0)))))</f>
      </c>
      <c r="F82" s="19">
        <f>COUNTIFS($D$5:$D$74,$A$82,$W$5:$W$74,"EVITER")</f>
      </c>
      <c r="G82" s="19">
        <f>COUNTIFS($D$5:$D$74,$A$82,$W$5:$W$74,"PREFERE")</f>
      </c>
      <c r="H82" s="19">
        <f>COUNTIFS($D$5:$D$74,$A$82,$W$5:$W$74,"IMPOSSIBLE")</f>
      </c>
      <c r="I82" s="19">
        <f>SUMIF($A$119:$A$131,$A$82,$S$119:$S$131)</f>
      </c>
    </row>
    <row r="83">
      <c r="A83" t="s" s="14">
        <v>108</v>
      </c>
      <c r="B83" s="16">
        <f>COUNTIF($D$5:$D$74,$A$83)/2</f>
      </c>
      <c r="C83" t="n" s="16">
        <v>4.0</v>
      </c>
      <c r="D83" s="16">
        <f>ABS($B$83-$C$83)</f>
      </c>
      <c r="E83" s="16">
        <f>IF(OR($H$83&gt;0,$I$83&gt;0),0,MAX(0,MIN(1,1-(MIN(1,IF($C$83&lt;=0,IF($B$83=0,0,1),$D$83/$C$83))*0.8)-(MIN(0.15,$F$83*0.05))+(IF(AND($G$83&gt;0,$F$83=0),MIN(0.05,$G$83*0.01),0)))))</f>
      </c>
      <c r="F83" s="18">
        <f>COUNTIFS($D$5:$D$74,$A$83,$W$5:$W$74,"EVITER")</f>
      </c>
      <c r="G83" s="18">
        <f>COUNTIFS($D$5:$D$74,$A$83,$W$5:$W$74,"PREFERE")</f>
      </c>
      <c r="H83" s="18">
        <f>COUNTIFS($D$5:$D$74,$A$83,$W$5:$W$74,"IMPOSSIBLE")</f>
      </c>
      <c r="I83" s="18">
        <f>SUMIF($A$119:$A$131,$A$83,$S$119:$S$131)</f>
      </c>
    </row>
    <row r="84">
      <c r="A84" t="s" s="15">
        <v>119</v>
      </c>
      <c r="B84" s="17">
        <f>COUNTIF($D$5:$D$74,$A$84)/2</f>
      </c>
      <c r="C84" t="n" s="17">
        <v>2.0</v>
      </c>
      <c r="D84" s="17">
        <f>ABS($B$84-$C$84)</f>
      </c>
      <c r="E84" s="17">
        <f>IF(OR($H$84&gt;0,$I$84&gt;0),0,MAX(0,MIN(1,1-(MIN(1,IF($C$84&lt;=0,IF($B$84=0,0,1),$D$84/$C$84))*0.8)-(MIN(0.15,$F$84*0.05))+(IF(AND($G$84&gt;0,$F$84=0),MIN(0.05,$G$84*0.01),0)))))</f>
      </c>
      <c r="F84" s="19">
        <f>COUNTIFS($D$5:$D$74,$A$84,$W$5:$W$74,"EVITER")</f>
      </c>
      <c r="G84" s="19">
        <f>COUNTIFS($D$5:$D$74,$A$84,$W$5:$W$74,"PREFERE")</f>
      </c>
      <c r="H84" s="19">
        <f>COUNTIFS($D$5:$D$74,$A$84,$W$5:$W$74,"IMPOSSIBLE")</f>
      </c>
      <c r="I84" s="19">
        <f>SUMIF($A$119:$A$131,$A$84,$S$119:$S$131)</f>
      </c>
    </row>
    <row r="85">
      <c r="A85" t="s" s="14">
        <v>121</v>
      </c>
      <c r="B85" s="16">
        <f>COUNTIF($D$5:$D$74,$A$85)/2</f>
      </c>
      <c r="C85" t="n" s="16">
        <v>2.0</v>
      </c>
      <c r="D85" s="16">
        <f>ABS($B$85-$C$85)</f>
      </c>
      <c r="E85" s="16">
        <f>IF(OR($H$85&gt;0,$I$85&gt;0),0,MAX(0,MIN(1,1-(MIN(1,IF($C$85&lt;=0,IF($B$85=0,0,1),$D$85/$C$85))*0.8)-(MIN(0.15,$F$85*0.05))+(IF(AND($G$85&gt;0,$F$85=0),MIN(0.05,$G$85*0.01),0)))))</f>
      </c>
      <c r="F85" s="18">
        <f>COUNTIFS($D$5:$D$74,$A$85,$W$5:$W$74,"EVITER")</f>
      </c>
      <c r="G85" s="18">
        <f>COUNTIFS($D$5:$D$74,$A$85,$W$5:$W$74,"PREFERE")</f>
      </c>
      <c r="H85" s="18">
        <f>COUNTIFS($D$5:$D$74,$A$85,$W$5:$W$74,"IMPOSSIBLE")</f>
      </c>
      <c r="I85" s="18">
        <f>SUMIF($A$119:$A$131,$A$85,$S$119:$S$131)</f>
      </c>
    </row>
    <row r="86">
      <c r="A86" t="s" s="15">
        <v>122</v>
      </c>
      <c r="B86" s="17">
        <f>COUNTIF($D$5:$D$74,$A$86)/2</f>
      </c>
      <c r="C86" t="n" s="17">
        <v>2.0</v>
      </c>
      <c r="D86" s="17">
        <f>ABS($B$86-$C$86)</f>
      </c>
      <c r="E86" s="17">
        <f>IF(OR($H$86&gt;0,$I$86&gt;0),0,MAX(0,MIN(1,1-(MIN(1,IF($C$86&lt;=0,IF($B$86=0,0,1),$D$86/$C$86))*0.8)-(MIN(0.15,$F$86*0.05))+(IF(AND($G$86&gt;0,$F$86=0),MIN(0.05,$G$86*0.01),0)))))</f>
      </c>
      <c r="F86" s="19">
        <f>COUNTIFS($D$5:$D$74,$A$86,$W$5:$W$74,"EVITER")</f>
      </c>
      <c r="G86" s="19">
        <f>COUNTIFS($D$5:$D$74,$A$86,$W$5:$W$74,"PREFERE")</f>
      </c>
      <c r="H86" s="19">
        <f>COUNTIFS($D$5:$D$74,$A$86,$W$5:$W$74,"IMPOSSIBLE")</f>
      </c>
      <c r="I86" s="19">
        <f>SUMIF($A$119:$A$131,$A$86,$S$119:$S$131)</f>
      </c>
    </row>
    <row r="87">
      <c r="A87" t="s" s="14">
        <v>115</v>
      </c>
      <c r="B87" s="16">
        <f>COUNTIF($D$5:$D$74,$A$87)/2</f>
      </c>
      <c r="C87" t="n" s="16">
        <v>4.0</v>
      </c>
      <c r="D87" s="16">
        <f>ABS($B$87-$C$87)</f>
      </c>
      <c r="E87" s="16">
        <f>IF(OR($H$87&gt;0,$I$87&gt;0),0,MAX(0,MIN(1,1-(MIN(1,IF($C$87&lt;=0,IF($B$87=0,0,1),$D$87/$C$87))*0.8)-(MIN(0.15,$F$87*0.05))+(IF(AND($G$87&gt;0,$F$87=0),MIN(0.05,$G$87*0.01),0)))))</f>
      </c>
      <c r="F87" s="18">
        <f>COUNTIFS($D$5:$D$74,$A$87,$W$5:$W$74,"EVITER")</f>
      </c>
      <c r="G87" s="18">
        <f>COUNTIFS($D$5:$D$74,$A$87,$W$5:$W$74,"PREFERE")</f>
      </c>
      <c r="H87" s="18">
        <f>COUNTIFS($D$5:$D$74,$A$87,$W$5:$W$74,"IMPOSSIBLE")</f>
      </c>
      <c r="I87" s="18">
        <f>SUMIF($A$119:$A$131,$A$87,$S$119:$S$131)</f>
      </c>
    </row>
    <row r="89" ht="15.0" customHeight="true">
      <c r="A89" t="s" s="11">
        <v>159</v>
      </c>
      <c r="B89" s="22">
        <f>MIN($E$77:$E$87)</f>
      </c>
    </row>
    <row r="90" ht="15.0" customHeight="true">
      <c r="A90" t="s" s="11">
        <v>160</v>
      </c>
      <c r="B90" s="22">
        <f>AVERAGE($E$77:$E$87)</f>
      </c>
    </row>
    <row r="91" ht="15.0" customHeight="true">
      <c r="A91" t="s" s="11">
        <v>161</v>
      </c>
      <c r="B91" s="22">
        <f>SUM($F$77:$F$87)</f>
      </c>
    </row>
    <row r="92" ht="15.0" customHeight="true">
      <c r="A92" t="s" s="11">
        <v>162</v>
      </c>
      <c r="B92" s="22">
        <f>SUM($G$77:$G$87)</f>
      </c>
    </row>
    <row r="93" ht="15.0" customHeight="true">
      <c r="A93" t="s" s="11">
        <v>163</v>
      </c>
      <c r="B93" s="22">
        <f>SUM($H$77:$H$87)</f>
      </c>
    </row>
    <row r="94" ht="15.0" customHeight="true">
      <c r="A94" t="s" s="11">
        <v>164</v>
      </c>
      <c r="B94" s="22">
        <f>SUM($I$77:$I$87)</f>
      </c>
    </row>
    <row r="95" ht="15.0" customHeight="true">
      <c r="A95" t="s" s="11">
        <v>165</v>
      </c>
      <c r="B95" s="22">
        <f>IF(SUM($I$77:$I$87)=0,"Oui","Non")</f>
      </c>
    </row>
    <row r="96" ht="15.0" customHeight="true">
      <c r="A96" t="s" s="11">
        <v>166</v>
      </c>
      <c r="B96" s="22">
        <f>COUNTIF($Y$5:$Y$74,"&gt;0")</f>
      </c>
    </row>
    <row r="97" ht="15.0" customHeight="true">
      <c r="A97" t="s" s="11">
        <v>167</v>
      </c>
      <c r="B97" s="22">
        <f>SUM($E$100:$E$115)</f>
      </c>
    </row>
    <row r="99">
      <c r="A99" t="s" s="13">
        <v>95</v>
      </c>
      <c r="B99" t="s" s="12">
        <v>155</v>
      </c>
      <c r="C99" t="s" s="12">
        <v>156</v>
      </c>
      <c r="D99" t="s" s="12">
        <v>157</v>
      </c>
      <c r="E99" t="s" s="12">
        <v>158</v>
      </c>
    </row>
    <row r="100">
      <c r="A100" t="s" s="23">
        <v>130</v>
      </c>
      <c r="B100" s="18">
        <f>COUNTIF($U$5:$U$74,"Paire|Lundi|Matin")</f>
      </c>
      <c r="C100" s="18">
        <f>SUMIF($U$5:$U$74,"Paire|Lundi|Matin",$V$5:$V$74)</f>
      </c>
      <c r="D100" s="18">
        <f>IF($C$100=0,0,ROUNDUP($C$100/6,0))</f>
      </c>
      <c r="E100" s="18">
        <f>MAX(0,$B$100-$D$100)</f>
      </c>
    </row>
    <row r="101">
      <c r="A101" t="s" s="23">
        <v>131</v>
      </c>
      <c r="B101" s="18">
        <f>COUNTIF($U$5:$U$74,"Paire|Lundi|Soir")</f>
      </c>
      <c r="C101" s="18">
        <f>SUMIF($U$5:$U$74,"Paire|Lundi|Soir",$V$5:$V$74)</f>
      </c>
      <c r="D101" s="18">
        <f>IF($C$101=0,0,ROUNDUP($C$101/6,0))</f>
      </c>
      <c r="E101" s="18">
        <f>MAX(0,$B$101-$D$101)</f>
      </c>
    </row>
    <row r="102">
      <c r="A102" t="s" s="23">
        <v>132</v>
      </c>
      <c r="B102" s="18">
        <f>COUNTIF($U$5:$U$74,"Paire|Mardi|Matin")</f>
      </c>
      <c r="C102" s="18">
        <f>SUMIF($U$5:$U$74,"Paire|Mardi|Matin",$V$5:$V$74)</f>
      </c>
      <c r="D102" s="18">
        <f>IF($C$102=0,0,ROUNDUP($C$102/6,0))</f>
      </c>
      <c r="E102" s="18">
        <f>MAX(0,$B$102-$D$102)</f>
      </c>
    </row>
    <row r="103">
      <c r="A103" t="s" s="23">
        <v>133</v>
      </c>
      <c r="B103" s="18">
        <f>COUNTIF($U$5:$U$74,"Paire|Mardi|Soir")</f>
      </c>
      <c r="C103" s="18">
        <f>SUMIF($U$5:$U$74,"Paire|Mardi|Soir",$V$5:$V$74)</f>
      </c>
      <c r="D103" s="18">
        <f>IF($C$103=0,0,ROUNDUP($C$103/6,0))</f>
      </c>
      <c r="E103" s="18">
        <f>MAX(0,$B$103-$D$103)</f>
      </c>
    </row>
    <row r="104">
      <c r="A104" t="s" s="23">
        <v>134</v>
      </c>
      <c r="B104" s="18">
        <f>COUNTIF($U$5:$U$74,"Paire|Jeudi|Matin")</f>
      </c>
      <c r="C104" s="18">
        <f>SUMIF($U$5:$U$74,"Paire|Jeudi|Matin",$V$5:$V$74)</f>
      </c>
      <c r="D104" s="18">
        <f>IF($C$104=0,0,ROUNDUP($C$104/6,0))</f>
      </c>
      <c r="E104" s="18">
        <f>MAX(0,$B$104-$D$104)</f>
      </c>
    </row>
    <row r="105">
      <c r="A105" t="s" s="23">
        <v>135</v>
      </c>
      <c r="B105" s="18">
        <f>COUNTIF($U$5:$U$74,"Paire|Jeudi|Soir")</f>
      </c>
      <c r="C105" s="18">
        <f>SUMIF($U$5:$U$74,"Paire|Jeudi|Soir",$V$5:$V$74)</f>
      </c>
      <c r="D105" s="18">
        <f>IF($C$105=0,0,ROUNDUP($C$105/6,0))</f>
      </c>
      <c r="E105" s="18">
        <f>MAX(0,$B$105-$D$105)</f>
      </c>
    </row>
    <row r="106">
      <c r="A106" t="s" s="23">
        <v>136</v>
      </c>
      <c r="B106" s="18">
        <f>COUNTIF($U$5:$U$74,"Paire|Vendredi|Matin")</f>
      </c>
      <c r="C106" s="18">
        <f>SUMIF($U$5:$U$74,"Paire|Vendredi|Matin",$V$5:$V$74)</f>
      </c>
      <c r="D106" s="18">
        <f>IF($C$106=0,0,ROUNDUP($C$106/6,0))</f>
      </c>
      <c r="E106" s="18">
        <f>MAX(0,$B$106-$D$106)</f>
      </c>
    </row>
    <row r="107">
      <c r="A107" t="s" s="23">
        <v>137</v>
      </c>
      <c r="B107" s="18">
        <f>COUNTIF($U$5:$U$74,"Paire|Vendredi|Soir")</f>
      </c>
      <c r="C107" s="18">
        <f>SUMIF($U$5:$U$74,"Paire|Vendredi|Soir",$V$5:$V$74)</f>
      </c>
      <c r="D107" s="18">
        <f>IF($C$107=0,0,ROUNDUP($C$107/6,0))</f>
      </c>
      <c r="E107" s="18">
        <f>MAX(0,$B$107-$D$107)</f>
      </c>
    </row>
    <row r="108">
      <c r="A108" t="s" s="23">
        <v>138</v>
      </c>
      <c r="B108" s="18">
        <f>COUNTIF($U$5:$U$74,"Impaire|Lundi|Matin")</f>
      </c>
      <c r="C108" s="18">
        <f>SUMIF($U$5:$U$74,"Impaire|Lundi|Matin",$V$5:$V$74)</f>
      </c>
      <c r="D108" s="18">
        <f>IF($C$108=0,0,ROUNDUP($C$108/6,0))</f>
      </c>
      <c r="E108" s="18">
        <f>MAX(0,$B$108-$D$108)</f>
      </c>
    </row>
    <row r="109">
      <c r="A109" t="s" s="23">
        <v>139</v>
      </c>
      <c r="B109" s="18">
        <f>COUNTIF($U$5:$U$74,"Impaire|Lundi|Soir")</f>
      </c>
      <c r="C109" s="18">
        <f>SUMIF($U$5:$U$74,"Impaire|Lundi|Soir",$V$5:$V$74)</f>
      </c>
      <c r="D109" s="18">
        <f>IF($C$109=0,0,ROUNDUP($C$109/6,0))</f>
      </c>
      <c r="E109" s="18">
        <f>MAX(0,$B$109-$D$109)</f>
      </c>
    </row>
    <row r="110">
      <c r="A110" t="s" s="23">
        <v>140</v>
      </c>
      <c r="B110" s="18">
        <f>COUNTIF($U$5:$U$74,"Impaire|Mardi|Matin")</f>
      </c>
      <c r="C110" s="18">
        <f>SUMIF($U$5:$U$74,"Impaire|Mardi|Matin",$V$5:$V$74)</f>
      </c>
      <c r="D110" s="18">
        <f>IF($C$110=0,0,ROUNDUP($C$110/6,0))</f>
      </c>
      <c r="E110" s="18">
        <f>MAX(0,$B$110-$D$110)</f>
      </c>
    </row>
    <row r="111">
      <c r="A111" t="s" s="23">
        <v>141</v>
      </c>
      <c r="B111" s="18">
        <f>COUNTIF($U$5:$U$74,"Impaire|Mardi|Soir")</f>
      </c>
      <c r="C111" s="18">
        <f>SUMIF($U$5:$U$74,"Impaire|Mardi|Soir",$V$5:$V$74)</f>
      </c>
      <c r="D111" s="18">
        <f>IF($C$111=0,0,ROUNDUP($C$111/6,0))</f>
      </c>
      <c r="E111" s="18">
        <f>MAX(0,$B$111-$D$111)</f>
      </c>
    </row>
    <row r="112">
      <c r="A112" t="s" s="23">
        <v>142</v>
      </c>
      <c r="B112" s="18">
        <f>COUNTIF($U$5:$U$74,"Impaire|Jeudi|Matin")</f>
      </c>
      <c r="C112" s="18">
        <f>SUMIF($U$5:$U$74,"Impaire|Jeudi|Matin",$V$5:$V$74)</f>
      </c>
      <c r="D112" s="18">
        <f>IF($C$112=0,0,ROUNDUP($C$112/6,0))</f>
      </c>
      <c r="E112" s="18">
        <f>MAX(0,$B$112-$D$112)</f>
      </c>
    </row>
    <row r="113">
      <c r="A113" t="s" s="23">
        <v>143</v>
      </c>
      <c r="B113" s="18">
        <f>COUNTIF($U$5:$U$74,"Impaire|Jeudi|Soir")</f>
      </c>
      <c r="C113" s="18">
        <f>SUMIF($U$5:$U$74,"Impaire|Jeudi|Soir",$V$5:$V$74)</f>
      </c>
      <c r="D113" s="18">
        <f>IF($C$113=0,0,ROUNDUP($C$113/6,0))</f>
      </c>
      <c r="E113" s="18">
        <f>MAX(0,$B$113-$D$113)</f>
      </c>
    </row>
    <row r="114">
      <c r="A114" t="s" s="23">
        <v>144</v>
      </c>
      <c r="B114" s="18">
        <f>COUNTIF($U$5:$U$74,"Impaire|Vendredi|Matin")</f>
      </c>
      <c r="C114" s="18">
        <f>SUMIF($U$5:$U$74,"Impaire|Vendredi|Matin",$V$5:$V$74)</f>
      </c>
      <c r="D114" s="18">
        <f>IF($C$114=0,0,ROUNDUP($C$114/6,0))</f>
      </c>
      <c r="E114" s="18">
        <f>MAX(0,$B$114-$D$114)</f>
      </c>
    </row>
    <row r="115">
      <c r="A115" t="s" s="23">
        <v>145</v>
      </c>
      <c r="B115" s="18">
        <f>COUNTIF($U$5:$U$74,"Impaire|Vendredi|Soir")</f>
      </c>
      <c r="C115" s="18">
        <f>SUMIF($U$5:$U$74,"Impaire|Vendredi|Soir",$V$5:$V$74)</f>
      </c>
      <c r="D115" s="18">
        <f>IF($C$115=0,0,ROUNDUP($C$115/6,0))</f>
      </c>
      <c r="E115" s="18">
        <f>MAX(0,$B$115-$D$115)</f>
      </c>
    </row>
    <row r="117" ht="16.0" customHeight="true">
      <c r="A117" t="s" s="9">
        <v>129</v>
      </c>
    </row>
    <row r="118" hidden="true">
      <c r="C118" t="s" s="23">
        <v>130</v>
      </c>
      <c r="D118" t="s" s="23">
        <v>131</v>
      </c>
      <c r="E118" t="s" s="23">
        <v>132</v>
      </c>
      <c r="F118" t="s" s="23">
        <v>133</v>
      </c>
      <c r="G118" t="s" s="23">
        <v>134</v>
      </c>
      <c r="H118" t="s" s="23">
        <v>135</v>
      </c>
      <c r="I118" t="s" s="23">
        <v>136</v>
      </c>
      <c r="J118" t="s" s="23">
        <v>137</v>
      </c>
      <c r="K118" t="s" s="23">
        <v>138</v>
      </c>
      <c r="L118" t="s" s="23">
        <v>139</v>
      </c>
      <c r="M118" t="s" s="23">
        <v>140</v>
      </c>
      <c r="N118" t="s" s="23">
        <v>141</v>
      </c>
      <c r="O118" t="s" s="23">
        <v>142</v>
      </c>
      <c r="P118" t="s" s="23">
        <v>143</v>
      </c>
      <c r="Q118" t="s" s="23">
        <v>144</v>
      </c>
      <c r="R118" t="s" s="23">
        <v>145</v>
      </c>
    </row>
    <row r="119">
      <c r="A119" t="s" s="23">
        <v>125</v>
      </c>
      <c r="B119" t="s" s="23">
        <v>125</v>
      </c>
      <c r="C119" t="n" s="23">
        <v>0.0</v>
      </c>
      <c r="D119" t="n" s="23">
        <v>0.0</v>
      </c>
      <c r="E119" t="n" s="23">
        <v>0.0</v>
      </c>
      <c r="F119" s="23">
        <f>IF(SUMPRODUCT(($U$5:$U$74="Paire|Mardi|Soir")*ISNUMBER(SEARCH(","&amp;$B$119&amp;",",$Z$5:$Z$74)))&gt;=1,0,1)</f>
      </c>
      <c r="G119" s="23">
        <f>IF(SUMPRODUCT(($U$5:$U$74="Paire|Jeudi|Matin")*ISNUMBER(SEARCH(","&amp;$B$119&amp;",",$Z$5:$Z$74)))&gt;=1,0,1)</f>
      </c>
      <c r="H119" s="23">
        <f>IF(SUMPRODUCT(($U$5:$U$74="Paire|Jeudi|Soir")*ISNUMBER(SEARCH(","&amp;$B$119&amp;",",$Z$5:$Z$74)))&gt;=1,0,1)</f>
      </c>
      <c r="I119" s="23">
        <f>IF(SUMPRODUCT(($U$5:$U$74="Paire|Vendredi|Matin")*ISNUMBER(SEARCH(","&amp;$B$119&amp;",",$Z$5:$Z$74)))&gt;=1,0,1)</f>
      </c>
      <c r="J119" s="23">
        <f>IF(SUMPRODUCT(($U$5:$U$74="Paire|Vendredi|Soir")*ISNUMBER(SEARCH(","&amp;$B$119&amp;",",$Z$5:$Z$74)))&gt;=1,0,1)</f>
      </c>
      <c r="K119" s="23">
        <f>IF(SUMPRODUCT(($U$5:$U$74="Impaire|Lundi|Matin")*ISNUMBER(SEARCH(","&amp;$B$119&amp;",",$Z$5:$Z$74)))&gt;=1,0,1)</f>
      </c>
      <c r="L119" s="23">
        <f>IF(SUMPRODUCT(($U$5:$U$74="Impaire|Lundi|Soir")*ISNUMBER(SEARCH(","&amp;$B$119&amp;",",$Z$5:$Z$74)))&gt;=1,0,1)</f>
      </c>
      <c r="M119" s="23">
        <f>IF(SUMPRODUCT(($U$5:$U$74="Impaire|Mardi|Matin")*ISNUMBER(SEARCH(","&amp;$B$119&amp;",",$Z$5:$Z$74)))&gt;=1,0,1)</f>
      </c>
      <c r="N119" t="n" s="23">
        <v>0.0</v>
      </c>
      <c r="O119" t="n" s="23">
        <v>0.0</v>
      </c>
      <c r="P119" t="n" s="23">
        <v>0.0</v>
      </c>
      <c r="Q119" t="n" s="23">
        <v>0.0</v>
      </c>
      <c r="R119" t="n" s="23">
        <v>0.0</v>
      </c>
      <c r="S119" s="23">
        <f>SUM($C$119:$R$119)</f>
      </c>
    </row>
    <row r="120">
      <c r="A120" t="s" s="23">
        <v>112</v>
      </c>
      <c r="B120" t="s" s="23">
        <v>112</v>
      </c>
      <c r="C120" s="23">
        <f>IF(SUMPRODUCT(($U$5:$U$74="Paire|Lundi|Matin")*ISNUMBER(SEARCH(","&amp;$B$120&amp;",",$Z$5:$Z$74)))&gt;=1,0,1)</f>
      </c>
      <c r="D120" s="23">
        <f>IF(SUMPRODUCT(($U$5:$U$74="Paire|Lundi|Soir")*ISNUMBER(SEARCH(","&amp;$B$120&amp;",",$Z$5:$Z$74)))&gt;=1,0,1)</f>
      </c>
      <c r="E120" s="23">
        <f>IF(SUMPRODUCT(($U$5:$U$74="Paire|Mardi|Matin")*ISNUMBER(SEARCH(","&amp;$B$120&amp;",",$Z$5:$Z$74)))&gt;=1,0,1)</f>
      </c>
      <c r="F120" s="23">
        <f>IF(SUMPRODUCT(($U$5:$U$74="Paire|Mardi|Soir")*ISNUMBER(SEARCH(","&amp;$B$120&amp;",",$Z$5:$Z$74)))&gt;=1,0,1)</f>
      </c>
      <c r="G120" s="23">
        <f>IF(SUMPRODUCT(($U$5:$U$74="Paire|Jeudi|Matin")*ISNUMBER(SEARCH(","&amp;$B$120&amp;",",$Z$5:$Z$74)))&gt;=1,0,1)</f>
      </c>
      <c r="H120" s="23">
        <f>IF(SUMPRODUCT(($U$5:$U$74="Paire|Jeudi|Soir")*ISNUMBER(SEARCH(","&amp;$B$120&amp;",",$Z$5:$Z$74)))&gt;=1,0,1)</f>
      </c>
      <c r="I120" s="23">
        <f>IF(SUMPRODUCT(($U$5:$U$74="Paire|Vendredi|Matin")*ISNUMBER(SEARCH(","&amp;$B$120&amp;",",$Z$5:$Z$74)))&gt;=1,0,1)</f>
      </c>
      <c r="J120" s="23">
        <f>IF(SUMPRODUCT(($U$5:$U$74="Paire|Vendredi|Soir")*ISNUMBER(SEARCH(","&amp;$B$120&amp;",",$Z$5:$Z$74)))&gt;=1,0,1)</f>
      </c>
      <c r="K120" s="23">
        <f>IF(SUMPRODUCT(($U$5:$U$74="Impaire|Lundi|Matin")*ISNUMBER(SEARCH(","&amp;$B$120&amp;",",$Z$5:$Z$74)))&gt;=1,0,1)</f>
      </c>
      <c r="L120" s="23">
        <f>IF(SUMPRODUCT(($U$5:$U$74="Impaire|Lundi|Soir")*ISNUMBER(SEARCH(","&amp;$B$120&amp;",",$Z$5:$Z$74)))&gt;=1,0,1)</f>
      </c>
      <c r="M120" s="23">
        <f>IF(SUMPRODUCT(($U$5:$U$74="Impaire|Mardi|Matin")*ISNUMBER(SEARCH(","&amp;$B$120&amp;",",$Z$5:$Z$74)))&gt;=1,0,1)</f>
      </c>
      <c r="N120" s="23">
        <f>IF(SUMPRODUCT(($U$5:$U$74="Impaire|Mardi|Soir")*ISNUMBER(SEARCH(","&amp;$B$120&amp;",",$Z$5:$Z$74)))&gt;=1,0,1)</f>
      </c>
      <c r="O120" s="23">
        <f>IF(SUMPRODUCT(($U$5:$U$74="Impaire|Jeudi|Matin")*ISNUMBER(SEARCH(","&amp;$B$120&amp;",",$Z$5:$Z$74)))&gt;=1,0,1)</f>
      </c>
      <c r="P120" s="23">
        <f>IF(SUMPRODUCT(($U$5:$U$74="Impaire|Jeudi|Soir")*ISNUMBER(SEARCH(","&amp;$B$120&amp;",",$Z$5:$Z$74)))&gt;=1,0,1)</f>
      </c>
      <c r="Q120" s="23">
        <f>IF(SUMPRODUCT(($U$5:$U$74="Impaire|Vendredi|Matin")*ISNUMBER(SEARCH(","&amp;$B$120&amp;",",$Z$5:$Z$74)))&gt;=1,0,1)</f>
      </c>
      <c r="R120" s="23">
        <f>IF(SUMPRODUCT(($U$5:$U$74="Impaire|Vendredi|Soir")*ISNUMBER(SEARCH(","&amp;$B$120&amp;",",$Z$5:$Z$74)))&gt;=1,0,1)</f>
      </c>
      <c r="S120" s="23">
        <f>SUM($C$120:$R$120)</f>
      </c>
    </row>
    <row r="121">
      <c r="A121" t="s" s="23">
        <v>113</v>
      </c>
      <c r="B121" t="s" s="23">
        <v>113</v>
      </c>
      <c r="C121" s="23">
        <f>IF(SUMPRODUCT(($U$5:$U$74="Paire|Lundi|Matin")*ISNUMBER(SEARCH(","&amp;$B$121&amp;",",$Z$5:$Z$74)))&gt;=1,0,1)</f>
      </c>
      <c r="D121" s="23">
        <f>IF(SUMPRODUCT(($U$5:$U$74="Paire|Lundi|Soir")*ISNUMBER(SEARCH(","&amp;$B$121&amp;",",$Z$5:$Z$74)))&gt;=1,0,1)</f>
      </c>
      <c r="E121" s="23">
        <f>IF(SUMPRODUCT(($U$5:$U$74="Paire|Mardi|Matin")*ISNUMBER(SEARCH(","&amp;$B$121&amp;",",$Z$5:$Z$74)))&gt;=1,0,1)</f>
      </c>
      <c r="F121" s="23">
        <f>IF(SUMPRODUCT(($U$5:$U$74="Paire|Mardi|Soir")*ISNUMBER(SEARCH(","&amp;$B$121&amp;",",$Z$5:$Z$74)))&gt;=1,0,1)</f>
      </c>
      <c r="G121" s="23">
        <f>IF(SUMPRODUCT(($U$5:$U$74="Paire|Jeudi|Matin")*ISNUMBER(SEARCH(","&amp;$B$121&amp;",",$Z$5:$Z$74)))&gt;=1,0,1)</f>
      </c>
      <c r="H121" s="23">
        <f>IF(SUMPRODUCT(($U$5:$U$74="Paire|Jeudi|Soir")*ISNUMBER(SEARCH(","&amp;$B$121&amp;",",$Z$5:$Z$74)))&gt;=1,0,1)</f>
      </c>
      <c r="I121" s="23">
        <f>IF(SUMPRODUCT(($U$5:$U$74="Paire|Vendredi|Matin")*ISNUMBER(SEARCH(","&amp;$B$121&amp;",",$Z$5:$Z$74)))&gt;=1,0,1)</f>
      </c>
      <c r="J121" s="23">
        <f>IF(SUMPRODUCT(($U$5:$U$74="Paire|Vendredi|Soir")*ISNUMBER(SEARCH(","&amp;$B$121&amp;",",$Z$5:$Z$74)))&gt;=1,0,1)</f>
      </c>
      <c r="K121" s="23">
        <f>IF(SUMPRODUCT(($U$5:$U$74="Impaire|Lundi|Matin")*ISNUMBER(SEARCH(","&amp;$B$121&amp;",",$Z$5:$Z$74)))&gt;=1,0,1)</f>
      </c>
      <c r="L121" s="23">
        <f>IF(SUMPRODUCT(($U$5:$U$74="Impaire|Lundi|Soir")*ISNUMBER(SEARCH(","&amp;$B$121&amp;",",$Z$5:$Z$74)))&gt;=1,0,1)</f>
      </c>
      <c r="M121" s="23">
        <f>IF(SUMPRODUCT(($U$5:$U$74="Impaire|Mardi|Matin")*ISNUMBER(SEARCH(","&amp;$B$121&amp;",",$Z$5:$Z$74)))&gt;=1,0,1)</f>
      </c>
      <c r="N121" s="23">
        <f>IF(SUMPRODUCT(($U$5:$U$74="Impaire|Mardi|Soir")*ISNUMBER(SEARCH(","&amp;$B$121&amp;",",$Z$5:$Z$74)))&gt;=1,0,1)</f>
      </c>
      <c r="O121" s="23">
        <f>IF(SUMPRODUCT(($U$5:$U$74="Impaire|Jeudi|Matin")*ISNUMBER(SEARCH(","&amp;$B$121&amp;",",$Z$5:$Z$74)))&gt;=1,0,1)</f>
      </c>
      <c r="P121" s="23">
        <f>IF(SUMPRODUCT(($U$5:$U$74="Impaire|Jeudi|Soir")*ISNUMBER(SEARCH(","&amp;$B$121&amp;",",$Z$5:$Z$74)))&gt;=1,0,1)</f>
      </c>
      <c r="Q121" s="23">
        <f>IF(SUMPRODUCT(($U$5:$U$74="Impaire|Vendredi|Matin")*ISNUMBER(SEARCH(","&amp;$B$121&amp;",",$Z$5:$Z$74)))&gt;=1,0,1)</f>
      </c>
      <c r="R121" s="23">
        <f>IF(SUMPRODUCT(($U$5:$U$74="Impaire|Vendredi|Soir")*ISNUMBER(SEARCH(","&amp;$B$121&amp;",",$Z$5:$Z$74)))&gt;=1,0,1)</f>
      </c>
      <c r="S121" s="23">
        <f>SUM($C$121:$R$121)</f>
      </c>
    </row>
    <row r="122">
      <c r="A122" t="s" s="23">
        <v>114</v>
      </c>
      <c r="B122" t="s" s="23">
        <v>114</v>
      </c>
      <c r="C122" s="23">
        <f>IF(SUMPRODUCT(($U$5:$U$74="Paire|Lundi|Matin")*ISNUMBER(SEARCH(","&amp;$B$122&amp;",",$Z$5:$Z$74)))&gt;=1,0,1)</f>
      </c>
      <c r="D122" s="23">
        <f>IF(SUMPRODUCT(($U$5:$U$74="Paire|Lundi|Soir")*ISNUMBER(SEARCH(","&amp;$B$122&amp;",",$Z$5:$Z$74)))&gt;=1,0,1)</f>
      </c>
      <c r="E122" s="23">
        <f>IF(SUMPRODUCT(($U$5:$U$74="Paire|Mardi|Matin")*ISNUMBER(SEARCH(","&amp;$B$122&amp;",",$Z$5:$Z$74)))&gt;=1,0,1)</f>
      </c>
      <c r="F122" s="23">
        <f>IF(SUMPRODUCT(($U$5:$U$74="Paire|Mardi|Soir")*ISNUMBER(SEARCH(","&amp;$B$122&amp;",",$Z$5:$Z$74)))&gt;=1,0,1)</f>
      </c>
      <c r="G122" s="23">
        <f>IF(SUMPRODUCT(($U$5:$U$74="Paire|Jeudi|Matin")*ISNUMBER(SEARCH(","&amp;$B$122&amp;",",$Z$5:$Z$74)))&gt;=1,0,1)</f>
      </c>
      <c r="H122" s="23">
        <f>IF(SUMPRODUCT(($U$5:$U$74="Paire|Jeudi|Soir")*ISNUMBER(SEARCH(","&amp;$B$122&amp;",",$Z$5:$Z$74)))&gt;=1,0,1)</f>
      </c>
      <c r="I122" s="23">
        <f>IF(SUMPRODUCT(($U$5:$U$74="Paire|Vendredi|Matin")*ISNUMBER(SEARCH(","&amp;$B$122&amp;",",$Z$5:$Z$74)))&gt;=1,0,1)</f>
      </c>
      <c r="J122" s="23">
        <f>IF(SUMPRODUCT(($U$5:$U$74="Paire|Vendredi|Soir")*ISNUMBER(SEARCH(","&amp;$B$122&amp;",",$Z$5:$Z$74)))&gt;=1,0,1)</f>
      </c>
      <c r="K122" s="23">
        <f>IF(SUMPRODUCT(($U$5:$U$74="Impaire|Lundi|Matin")*ISNUMBER(SEARCH(","&amp;$B$122&amp;",",$Z$5:$Z$74)))&gt;=1,0,1)</f>
      </c>
      <c r="L122" s="23">
        <f>IF(SUMPRODUCT(($U$5:$U$74="Impaire|Lundi|Soir")*ISNUMBER(SEARCH(","&amp;$B$122&amp;",",$Z$5:$Z$74)))&gt;=1,0,1)</f>
      </c>
      <c r="M122" s="23">
        <f>IF(SUMPRODUCT(($U$5:$U$74="Impaire|Mardi|Matin")*ISNUMBER(SEARCH(","&amp;$B$122&amp;",",$Z$5:$Z$74)))&gt;=1,0,1)</f>
      </c>
      <c r="N122" s="23">
        <f>IF(SUMPRODUCT(($U$5:$U$74="Impaire|Mardi|Soir")*ISNUMBER(SEARCH(","&amp;$B$122&amp;",",$Z$5:$Z$74)))&gt;=1,0,1)</f>
      </c>
      <c r="O122" s="23">
        <f>IF(SUMPRODUCT(($U$5:$U$74="Impaire|Jeudi|Matin")*ISNUMBER(SEARCH(","&amp;$B$122&amp;",",$Z$5:$Z$74)))&gt;=1,0,1)</f>
      </c>
      <c r="P122" s="23">
        <f>IF(SUMPRODUCT(($U$5:$U$74="Impaire|Jeudi|Soir")*ISNUMBER(SEARCH(","&amp;$B$122&amp;",",$Z$5:$Z$74)))&gt;=1,0,1)</f>
      </c>
      <c r="Q122" s="23">
        <f>IF(SUMPRODUCT(($U$5:$U$74="Impaire|Vendredi|Matin")*ISNUMBER(SEARCH(","&amp;$B$122&amp;",",$Z$5:$Z$74)))&gt;=1,0,1)</f>
      </c>
      <c r="R122" s="23">
        <f>IF(SUMPRODUCT(($U$5:$U$74="Impaire|Vendredi|Soir")*ISNUMBER(SEARCH(","&amp;$B$122&amp;",",$Z$5:$Z$74)))&gt;=1,0,1)</f>
      </c>
      <c r="S122" s="23">
        <f>SUM($C$122:$R$122)</f>
      </c>
    </row>
    <row r="123">
      <c r="A123" t="s" s="23">
        <v>120</v>
      </c>
      <c r="B123" t="s" s="23">
        <v>120</v>
      </c>
      <c r="C123" s="23">
        <f>IF(SUMPRODUCT(($U$5:$U$74="Paire|Lundi|Matin")*ISNUMBER(SEARCH(","&amp;$B$123&amp;",",$Z$5:$Z$74)))&gt;=1,0,1)</f>
      </c>
      <c r="D123" s="23">
        <f>IF(SUMPRODUCT(($U$5:$U$74="Paire|Lundi|Soir")*ISNUMBER(SEARCH(","&amp;$B$123&amp;",",$Z$5:$Z$74)))&gt;=1,0,1)</f>
      </c>
      <c r="E123" s="23">
        <f>IF(SUMPRODUCT(($U$5:$U$74="Paire|Mardi|Matin")*ISNUMBER(SEARCH(","&amp;$B$123&amp;",",$Z$5:$Z$74)))&gt;=1,0,1)</f>
      </c>
      <c r="F123" s="23">
        <f>IF(SUMPRODUCT(($U$5:$U$74="Paire|Mardi|Soir")*ISNUMBER(SEARCH(","&amp;$B$123&amp;",",$Z$5:$Z$74)))&gt;=1,0,1)</f>
      </c>
      <c r="G123" s="23">
        <f>IF(SUMPRODUCT(($U$5:$U$74="Paire|Jeudi|Matin")*ISNUMBER(SEARCH(","&amp;$B$123&amp;",",$Z$5:$Z$74)))&gt;=1,0,1)</f>
      </c>
      <c r="H123" s="23">
        <f>IF(SUMPRODUCT(($U$5:$U$74="Paire|Jeudi|Soir")*ISNUMBER(SEARCH(","&amp;$B$123&amp;",",$Z$5:$Z$74)))&gt;=1,0,1)</f>
      </c>
      <c r="I123" s="23">
        <f>IF(SUMPRODUCT(($U$5:$U$74="Paire|Vendredi|Matin")*ISNUMBER(SEARCH(","&amp;$B$123&amp;",",$Z$5:$Z$74)))&gt;=1,0,1)</f>
      </c>
      <c r="J123" s="23">
        <f>IF(SUMPRODUCT(($U$5:$U$74="Paire|Vendredi|Soir")*ISNUMBER(SEARCH(","&amp;$B$123&amp;",",$Z$5:$Z$74)))&gt;=1,0,1)</f>
      </c>
      <c r="K123" s="23">
        <f>IF(SUMPRODUCT(($U$5:$U$74="Impaire|Lundi|Matin")*ISNUMBER(SEARCH(","&amp;$B$123&amp;",",$Z$5:$Z$74)))&gt;=1,0,1)</f>
      </c>
      <c r="L123" s="23">
        <f>IF(SUMPRODUCT(($U$5:$U$74="Impaire|Lundi|Soir")*ISNUMBER(SEARCH(","&amp;$B$123&amp;",",$Z$5:$Z$74)))&gt;=1,0,1)</f>
      </c>
      <c r="M123" s="23">
        <f>IF(SUMPRODUCT(($U$5:$U$74="Impaire|Mardi|Matin")*ISNUMBER(SEARCH(","&amp;$B$123&amp;",",$Z$5:$Z$74)))&gt;=1,0,1)</f>
      </c>
      <c r="N123" s="23">
        <f>IF(SUMPRODUCT(($U$5:$U$74="Impaire|Mardi|Soir")*ISNUMBER(SEARCH(","&amp;$B$123&amp;",",$Z$5:$Z$74)))&gt;=1,0,1)</f>
      </c>
      <c r="O123" s="23">
        <f>IF(SUMPRODUCT(($U$5:$U$74="Impaire|Jeudi|Matin")*ISNUMBER(SEARCH(","&amp;$B$123&amp;",",$Z$5:$Z$74)))&gt;=1,0,1)</f>
      </c>
      <c r="P123" s="23">
        <f>IF(SUMPRODUCT(($U$5:$U$74="Impaire|Jeudi|Soir")*ISNUMBER(SEARCH(","&amp;$B$123&amp;",",$Z$5:$Z$74)))&gt;=1,0,1)</f>
      </c>
      <c r="Q123" s="23">
        <f>IF(SUMPRODUCT(($U$5:$U$74="Impaire|Vendredi|Matin")*ISNUMBER(SEARCH(","&amp;$B$123&amp;",",$Z$5:$Z$74)))&gt;=1,0,1)</f>
      </c>
      <c r="R123" s="23">
        <f>IF(SUMPRODUCT(($U$5:$U$74="Impaire|Vendredi|Soir")*ISNUMBER(SEARCH(","&amp;$B$123&amp;",",$Z$5:$Z$74)))&gt;=1,0,1)</f>
      </c>
      <c r="S123" s="23">
        <f>SUM($C$123:$R$123)</f>
      </c>
    </row>
    <row r="124">
      <c r="A124" t="s" s="23">
        <v>118</v>
      </c>
      <c r="B124" t="s" s="23">
        <v>118</v>
      </c>
      <c r="C124" s="23">
        <f>IF(SUMPRODUCT(($U$5:$U$74="Paire|Lundi|Matin")*ISNUMBER(SEARCH(","&amp;$B$124&amp;",",$Z$5:$Z$74)))&gt;=1,0,1)</f>
      </c>
      <c r="D124" t="n" s="23">
        <v>0.0</v>
      </c>
      <c r="E124" t="n" s="23">
        <v>0.0</v>
      </c>
      <c r="F124" t="n" s="23">
        <v>0.0</v>
      </c>
      <c r="G124" t="n" s="23">
        <v>0.0</v>
      </c>
      <c r="H124" t="n" s="23">
        <v>0.0</v>
      </c>
      <c r="I124" t="n" s="23">
        <v>0.0</v>
      </c>
      <c r="J124" t="n" s="23">
        <v>0.0</v>
      </c>
      <c r="K124" t="n" s="23">
        <v>0.0</v>
      </c>
      <c r="L124" s="23">
        <f>IF(SUMPRODUCT(($U$5:$U$74="Impaire|Lundi|Soir")*ISNUMBER(SEARCH(","&amp;$B$124&amp;",",$Z$5:$Z$74)))&gt;=1,0,1)</f>
      </c>
      <c r="M124" s="23">
        <f>IF(SUMPRODUCT(($U$5:$U$74="Impaire|Mardi|Matin")*ISNUMBER(SEARCH(","&amp;$B$124&amp;",",$Z$5:$Z$74)))&gt;=1,0,1)</f>
      </c>
      <c r="N124" s="23">
        <f>IF(SUMPRODUCT(($U$5:$U$74="Impaire|Mardi|Soir")*ISNUMBER(SEARCH(","&amp;$B$124&amp;",",$Z$5:$Z$74)))&gt;=1,0,1)</f>
      </c>
      <c r="O124" s="23">
        <f>IF(SUMPRODUCT(($U$5:$U$74="Impaire|Jeudi|Matin")*ISNUMBER(SEARCH(","&amp;$B$124&amp;",",$Z$5:$Z$74)))&gt;=1,0,1)</f>
      </c>
      <c r="P124" s="23">
        <f>IF(SUMPRODUCT(($U$5:$U$74="Impaire|Jeudi|Soir")*ISNUMBER(SEARCH(","&amp;$B$124&amp;",",$Z$5:$Z$74)))&gt;=1,0,1)</f>
      </c>
      <c r="Q124" s="23">
        <f>IF(SUMPRODUCT(($U$5:$U$74="Impaire|Vendredi|Matin")*ISNUMBER(SEARCH(","&amp;$B$124&amp;",",$Z$5:$Z$74)))&gt;=1,0,1)</f>
      </c>
      <c r="R124" s="23">
        <f>IF(SUMPRODUCT(($U$5:$U$74="Impaire|Vendredi|Soir")*ISNUMBER(SEARCH(","&amp;$B$124&amp;",",$Z$5:$Z$74)))&gt;=1,0,1)</f>
      </c>
      <c r="S124" s="23">
        <f>SUM($C$124:$R$124)</f>
      </c>
    </row>
    <row r="125">
      <c r="A125" t="s" s="23">
        <v>108</v>
      </c>
      <c r="B125" t="s" s="23">
        <v>110</v>
      </c>
      <c r="C125" s="23">
        <f>IF(SUMPRODUCT(($U$5:$U$74="Paire|Lundi|Matin")*ISNUMBER(SEARCH(","&amp;$B$125&amp;",",$Z$5:$Z$74)))&gt;=1,0,1)</f>
      </c>
      <c r="D125" s="23">
        <f>IF(SUMPRODUCT(($U$5:$U$74="Paire|Lundi|Soir")*ISNUMBER(SEARCH(","&amp;$B$125&amp;",",$Z$5:$Z$74)))&gt;=1,0,1)</f>
      </c>
      <c r="E125" s="23">
        <f>IF(SUMPRODUCT(($U$5:$U$74="Paire|Mardi|Matin")*ISNUMBER(SEARCH(","&amp;$B$125&amp;",",$Z$5:$Z$74)))&gt;=1,0,1)</f>
      </c>
      <c r="F125" s="23">
        <f>IF(SUMPRODUCT(($U$5:$U$74="Paire|Mardi|Soir")*ISNUMBER(SEARCH(","&amp;$B$125&amp;",",$Z$5:$Z$74)))&gt;=1,0,1)</f>
      </c>
      <c r="G125" s="23">
        <f>IF(SUMPRODUCT(($U$5:$U$74="Paire|Jeudi|Matin")*ISNUMBER(SEARCH(","&amp;$B$125&amp;",",$Z$5:$Z$74)))&gt;=1,0,1)</f>
      </c>
      <c r="H125" s="23">
        <f>IF(SUMPRODUCT(($U$5:$U$74="Paire|Jeudi|Soir")*ISNUMBER(SEARCH(","&amp;$B$125&amp;",",$Z$5:$Z$74)))&gt;=1,0,1)</f>
      </c>
      <c r="I125" s="23">
        <f>IF(SUMPRODUCT(($U$5:$U$74="Paire|Vendredi|Matin")*ISNUMBER(SEARCH(","&amp;$B$125&amp;",",$Z$5:$Z$74)))&gt;=1,0,1)</f>
      </c>
      <c r="J125" s="23">
        <f>IF(SUMPRODUCT(($U$5:$U$74="Paire|Vendredi|Soir")*ISNUMBER(SEARCH(","&amp;$B$125&amp;",",$Z$5:$Z$74)))&gt;=1,0,1)</f>
      </c>
      <c r="K125" s="23">
        <f>IF(SUMPRODUCT(($U$5:$U$74="Impaire|Lundi|Matin")*ISNUMBER(SEARCH(","&amp;$B$125&amp;",",$Z$5:$Z$74)))&gt;=1,0,1)</f>
      </c>
      <c r="L125" s="23">
        <f>IF(SUMPRODUCT(($U$5:$U$74="Impaire|Lundi|Soir")*ISNUMBER(SEARCH(","&amp;$B$125&amp;",",$Z$5:$Z$74)))&gt;=1,0,1)</f>
      </c>
      <c r="M125" s="23">
        <f>IF(SUMPRODUCT(($U$5:$U$74="Impaire|Mardi|Matin")*ISNUMBER(SEARCH(","&amp;$B$125&amp;",",$Z$5:$Z$74)))&gt;=1,0,1)</f>
      </c>
      <c r="N125" s="23">
        <f>IF(SUMPRODUCT(($U$5:$U$74="Impaire|Mardi|Soir")*ISNUMBER(SEARCH(","&amp;$B$125&amp;",",$Z$5:$Z$74)))&gt;=1,0,1)</f>
      </c>
      <c r="O125" s="23">
        <f>IF(SUMPRODUCT(($U$5:$U$74="Impaire|Jeudi|Matin")*ISNUMBER(SEARCH(","&amp;$B$125&amp;",",$Z$5:$Z$74)))&gt;=1,0,1)</f>
      </c>
      <c r="P125" s="23">
        <f>IF(SUMPRODUCT(($U$5:$U$74="Impaire|Jeudi|Soir")*ISNUMBER(SEARCH(","&amp;$B$125&amp;",",$Z$5:$Z$74)))&gt;=1,0,1)</f>
      </c>
      <c r="Q125" s="23">
        <f>IF(SUMPRODUCT(($U$5:$U$74="Impaire|Vendredi|Matin")*ISNUMBER(SEARCH(","&amp;$B$125&amp;",",$Z$5:$Z$74)))&gt;=1,0,1)</f>
      </c>
      <c r="R125" s="23">
        <f>IF(SUMPRODUCT(($U$5:$U$74="Impaire|Vendredi|Soir")*ISNUMBER(SEARCH(","&amp;$B$125&amp;",",$Z$5:$Z$74)))&gt;=1,0,1)</f>
      </c>
      <c r="S125" s="23">
        <f>SUM($C$125:$R$125)</f>
      </c>
    </row>
    <row r="126">
      <c r="A126" t="s" s="23">
        <v>108</v>
      </c>
      <c r="B126" t="s" s="23">
        <v>111</v>
      </c>
      <c r="C126" s="23">
        <f>IF(SUMPRODUCT(($U$5:$U$74="Paire|Lundi|Matin")*ISNUMBER(SEARCH(","&amp;$B$126&amp;",",$Z$5:$Z$74)))&gt;=1,0,1)</f>
      </c>
      <c r="D126" s="23">
        <f>IF(SUMPRODUCT(($U$5:$U$74="Paire|Lundi|Soir")*ISNUMBER(SEARCH(","&amp;$B$126&amp;",",$Z$5:$Z$74)))&gt;=1,0,1)</f>
      </c>
      <c r="E126" s="23">
        <f>IF(SUMPRODUCT(($U$5:$U$74="Paire|Mardi|Matin")*ISNUMBER(SEARCH(","&amp;$B$126&amp;",",$Z$5:$Z$74)))&gt;=1,0,1)</f>
      </c>
      <c r="F126" s="23">
        <f>IF(SUMPRODUCT(($U$5:$U$74="Paire|Mardi|Soir")*ISNUMBER(SEARCH(","&amp;$B$126&amp;",",$Z$5:$Z$74)))&gt;=1,0,1)</f>
      </c>
      <c r="G126" s="23">
        <f>IF(SUMPRODUCT(($U$5:$U$74="Paire|Jeudi|Matin")*ISNUMBER(SEARCH(","&amp;$B$126&amp;",",$Z$5:$Z$74)))&gt;=1,0,1)</f>
      </c>
      <c r="H126" s="23">
        <f>IF(SUMPRODUCT(($U$5:$U$74="Paire|Jeudi|Soir")*ISNUMBER(SEARCH(","&amp;$B$126&amp;",",$Z$5:$Z$74)))&gt;=1,0,1)</f>
      </c>
      <c r="I126" s="23">
        <f>IF(SUMPRODUCT(($U$5:$U$74="Paire|Vendredi|Matin")*ISNUMBER(SEARCH(","&amp;$B$126&amp;",",$Z$5:$Z$74)))&gt;=1,0,1)</f>
      </c>
      <c r="J126" s="23">
        <f>IF(SUMPRODUCT(($U$5:$U$74="Paire|Vendredi|Soir")*ISNUMBER(SEARCH(","&amp;$B$126&amp;",",$Z$5:$Z$74)))&gt;=1,0,1)</f>
      </c>
      <c r="K126" s="23">
        <f>IF(SUMPRODUCT(($U$5:$U$74="Impaire|Lundi|Matin")*ISNUMBER(SEARCH(","&amp;$B$126&amp;",",$Z$5:$Z$74)))&gt;=1,0,1)</f>
      </c>
      <c r="L126" s="23">
        <f>IF(SUMPRODUCT(($U$5:$U$74="Impaire|Lundi|Soir")*ISNUMBER(SEARCH(","&amp;$B$126&amp;",",$Z$5:$Z$74)))&gt;=1,0,1)</f>
      </c>
      <c r="M126" s="23">
        <f>IF(SUMPRODUCT(($U$5:$U$74="Impaire|Mardi|Matin")*ISNUMBER(SEARCH(","&amp;$B$126&amp;",",$Z$5:$Z$74)))&gt;=1,0,1)</f>
      </c>
      <c r="N126" s="23">
        <f>IF(SUMPRODUCT(($U$5:$U$74="Impaire|Mardi|Soir")*ISNUMBER(SEARCH(","&amp;$B$126&amp;",",$Z$5:$Z$74)))&gt;=1,0,1)</f>
      </c>
      <c r="O126" s="23">
        <f>IF(SUMPRODUCT(($U$5:$U$74="Impaire|Jeudi|Matin")*ISNUMBER(SEARCH(","&amp;$B$126&amp;",",$Z$5:$Z$74)))&gt;=1,0,1)</f>
      </c>
      <c r="P126" s="23">
        <f>IF(SUMPRODUCT(($U$5:$U$74="Impaire|Jeudi|Soir")*ISNUMBER(SEARCH(","&amp;$B$126&amp;",",$Z$5:$Z$74)))&gt;=1,0,1)</f>
      </c>
      <c r="Q126" s="23">
        <f>IF(SUMPRODUCT(($U$5:$U$74="Impaire|Vendredi|Matin")*ISNUMBER(SEARCH(","&amp;$B$126&amp;",",$Z$5:$Z$74)))&gt;=1,0,1)</f>
      </c>
      <c r="R126" s="23">
        <f>IF(SUMPRODUCT(($U$5:$U$74="Impaire|Vendredi|Soir")*ISNUMBER(SEARCH(","&amp;$B$126&amp;",",$Z$5:$Z$74)))&gt;=1,0,1)</f>
      </c>
      <c r="S126" s="23">
        <f>SUM($C$126:$R$126)</f>
      </c>
    </row>
    <row r="127">
      <c r="A127" t="s" s="23">
        <v>119</v>
      </c>
      <c r="B127" t="s" s="23">
        <v>119</v>
      </c>
      <c r="C127" s="23">
        <f>IF(SUMPRODUCT(($U$5:$U$74="Paire|Lundi|Matin")*ISNUMBER(SEARCH(","&amp;$B$127&amp;",",$Z$5:$Z$74)))&gt;=1,0,1)</f>
      </c>
      <c r="D127" s="23">
        <f>IF(SUMPRODUCT(($U$5:$U$74="Paire|Lundi|Soir")*ISNUMBER(SEARCH(","&amp;$B$127&amp;",",$Z$5:$Z$74)))&gt;=1,0,1)</f>
      </c>
      <c r="E127" s="23">
        <f>IF(SUMPRODUCT(($U$5:$U$74="Paire|Mardi|Matin")*ISNUMBER(SEARCH(","&amp;$B$127&amp;",",$Z$5:$Z$74)))&gt;=1,0,1)</f>
      </c>
      <c r="F127" s="23">
        <f>IF(SUMPRODUCT(($U$5:$U$74="Paire|Mardi|Soir")*ISNUMBER(SEARCH(","&amp;$B$127&amp;",",$Z$5:$Z$74)))&gt;=1,0,1)</f>
      </c>
      <c r="G127" s="23">
        <f>IF(SUMPRODUCT(($U$5:$U$74="Paire|Jeudi|Matin")*ISNUMBER(SEARCH(","&amp;$B$127&amp;",",$Z$5:$Z$74)))&gt;=1,0,1)</f>
      </c>
      <c r="H127" s="23">
        <f>IF(SUMPRODUCT(($U$5:$U$74="Paire|Jeudi|Soir")*ISNUMBER(SEARCH(","&amp;$B$127&amp;",",$Z$5:$Z$74)))&gt;=1,0,1)</f>
      </c>
      <c r="I127" s="23">
        <f>IF(SUMPRODUCT(($U$5:$U$74="Paire|Vendredi|Matin")*ISNUMBER(SEARCH(","&amp;$B$127&amp;",",$Z$5:$Z$74)))&gt;=1,0,1)</f>
      </c>
      <c r="J127" s="23">
        <f>IF(SUMPRODUCT(($U$5:$U$74="Paire|Vendredi|Soir")*ISNUMBER(SEARCH(","&amp;$B$127&amp;",",$Z$5:$Z$74)))&gt;=1,0,1)</f>
      </c>
      <c r="K127" s="23">
        <f>IF(SUMPRODUCT(($U$5:$U$74="Impaire|Lundi|Matin")*ISNUMBER(SEARCH(","&amp;$B$127&amp;",",$Z$5:$Z$74)))&gt;=1,0,1)</f>
      </c>
      <c r="L127" s="23">
        <f>IF(SUMPRODUCT(($U$5:$U$74="Impaire|Lundi|Soir")*ISNUMBER(SEARCH(","&amp;$B$127&amp;",",$Z$5:$Z$74)))&gt;=1,0,1)</f>
      </c>
      <c r="M127" s="23">
        <f>IF(SUMPRODUCT(($U$5:$U$74="Impaire|Mardi|Matin")*ISNUMBER(SEARCH(","&amp;$B$127&amp;",",$Z$5:$Z$74)))&gt;=1,0,1)</f>
      </c>
      <c r="N127" s="23">
        <f>IF(SUMPRODUCT(($U$5:$U$74="Impaire|Mardi|Soir")*ISNUMBER(SEARCH(","&amp;$B$127&amp;",",$Z$5:$Z$74)))&gt;=1,0,1)</f>
      </c>
      <c r="O127" s="23">
        <f>IF(SUMPRODUCT(($U$5:$U$74="Impaire|Jeudi|Matin")*ISNUMBER(SEARCH(","&amp;$B$127&amp;",",$Z$5:$Z$74)))&gt;=1,0,1)</f>
      </c>
      <c r="P127" s="23">
        <f>IF(SUMPRODUCT(($U$5:$U$74="Impaire|Jeudi|Soir")*ISNUMBER(SEARCH(","&amp;$B$127&amp;",",$Z$5:$Z$74)))&gt;=1,0,1)</f>
      </c>
      <c r="Q127" s="23">
        <f>IF(SUMPRODUCT(($U$5:$U$74="Impaire|Vendredi|Matin")*ISNUMBER(SEARCH(","&amp;$B$127&amp;",",$Z$5:$Z$74)))&gt;=1,0,1)</f>
      </c>
      <c r="R127" s="23">
        <f>IF(SUMPRODUCT(($U$5:$U$74="Impaire|Vendredi|Soir")*ISNUMBER(SEARCH(","&amp;$B$127&amp;",",$Z$5:$Z$74)))&gt;=1,0,1)</f>
      </c>
      <c r="S127" s="23">
        <f>SUM($C$127:$R$127)</f>
      </c>
    </row>
    <row r="128">
      <c r="A128" t="s" s="23">
        <v>121</v>
      </c>
      <c r="B128" t="s" s="23">
        <v>121</v>
      </c>
      <c r="C128" s="23">
        <f>IF(SUMPRODUCT(($U$5:$U$74="Paire|Lundi|Matin")*ISNUMBER(SEARCH(","&amp;$B$128&amp;",",$Z$5:$Z$74)))&gt;=1,0,1)</f>
      </c>
      <c r="D128" s="23">
        <f>IF(SUMPRODUCT(($U$5:$U$74="Paire|Lundi|Soir")*ISNUMBER(SEARCH(","&amp;$B$128&amp;",",$Z$5:$Z$74)))&gt;=1,0,1)</f>
      </c>
      <c r="E128" s="23">
        <f>IF(SUMPRODUCT(($U$5:$U$74="Paire|Mardi|Matin")*ISNUMBER(SEARCH(","&amp;$B$128&amp;",",$Z$5:$Z$74)))&gt;=1,0,1)</f>
      </c>
      <c r="F128" s="23">
        <f>IF(SUMPRODUCT(($U$5:$U$74="Paire|Mardi|Soir")*ISNUMBER(SEARCH(","&amp;$B$128&amp;",",$Z$5:$Z$74)))&gt;=1,0,1)</f>
      </c>
      <c r="G128" s="23">
        <f>IF(SUMPRODUCT(($U$5:$U$74="Paire|Jeudi|Matin")*ISNUMBER(SEARCH(","&amp;$B$128&amp;",",$Z$5:$Z$74)))&gt;=1,0,1)</f>
      </c>
      <c r="H128" s="23">
        <f>IF(SUMPRODUCT(($U$5:$U$74="Paire|Jeudi|Soir")*ISNUMBER(SEARCH(","&amp;$B$128&amp;",",$Z$5:$Z$74)))&gt;=1,0,1)</f>
      </c>
      <c r="I128" s="23">
        <f>IF(SUMPRODUCT(($U$5:$U$74="Paire|Vendredi|Matin")*ISNUMBER(SEARCH(","&amp;$B$128&amp;",",$Z$5:$Z$74)))&gt;=1,0,1)</f>
      </c>
      <c r="J128" s="23">
        <f>IF(SUMPRODUCT(($U$5:$U$74="Paire|Vendredi|Soir")*ISNUMBER(SEARCH(","&amp;$B$128&amp;",",$Z$5:$Z$74)))&gt;=1,0,1)</f>
      </c>
      <c r="K128" s="23">
        <f>IF(SUMPRODUCT(($U$5:$U$74="Impaire|Lundi|Matin")*ISNUMBER(SEARCH(","&amp;$B$128&amp;",",$Z$5:$Z$74)))&gt;=1,0,1)</f>
      </c>
      <c r="L128" s="23">
        <f>IF(SUMPRODUCT(($U$5:$U$74="Impaire|Lundi|Soir")*ISNUMBER(SEARCH(","&amp;$B$128&amp;",",$Z$5:$Z$74)))&gt;=1,0,1)</f>
      </c>
      <c r="M128" s="23">
        <f>IF(SUMPRODUCT(($U$5:$U$74="Impaire|Mardi|Matin")*ISNUMBER(SEARCH(","&amp;$B$128&amp;",",$Z$5:$Z$74)))&gt;=1,0,1)</f>
      </c>
      <c r="N128" s="23">
        <f>IF(SUMPRODUCT(($U$5:$U$74="Impaire|Mardi|Soir")*ISNUMBER(SEARCH(","&amp;$B$128&amp;",",$Z$5:$Z$74)))&gt;=1,0,1)</f>
      </c>
      <c r="O128" s="23">
        <f>IF(SUMPRODUCT(($U$5:$U$74="Impaire|Jeudi|Matin")*ISNUMBER(SEARCH(","&amp;$B$128&amp;",",$Z$5:$Z$74)))&gt;=1,0,1)</f>
      </c>
      <c r="P128" s="23">
        <f>IF(SUMPRODUCT(($U$5:$U$74="Impaire|Jeudi|Soir")*ISNUMBER(SEARCH(","&amp;$B$128&amp;",",$Z$5:$Z$74)))&gt;=1,0,1)</f>
      </c>
      <c r="Q128" s="23">
        <f>IF(SUMPRODUCT(($U$5:$U$74="Impaire|Vendredi|Matin")*ISNUMBER(SEARCH(","&amp;$B$128&amp;",",$Z$5:$Z$74)))&gt;=1,0,1)</f>
      </c>
      <c r="R128" s="23">
        <f>IF(SUMPRODUCT(($U$5:$U$74="Impaire|Vendredi|Soir")*ISNUMBER(SEARCH(","&amp;$B$128&amp;",",$Z$5:$Z$74)))&gt;=1,0,1)</f>
      </c>
      <c r="S128" s="23">
        <f>SUM($C$128:$R$128)</f>
      </c>
    </row>
    <row r="129">
      <c r="A129" t="s" s="23">
        <v>122</v>
      </c>
      <c r="B129" t="s" s="23">
        <v>122</v>
      </c>
      <c r="C129" s="23">
        <f>IF(SUMPRODUCT(($U$5:$U$74="Paire|Lundi|Matin")*ISNUMBER(SEARCH(","&amp;$B$129&amp;",",$Z$5:$Z$74)))&gt;=1,0,1)</f>
      </c>
      <c r="D129" s="23">
        <f>IF(SUMPRODUCT(($U$5:$U$74="Paire|Lundi|Soir")*ISNUMBER(SEARCH(","&amp;$B$129&amp;",",$Z$5:$Z$74)))&gt;=1,0,1)</f>
      </c>
      <c r="E129" s="23">
        <f>IF(SUMPRODUCT(($U$5:$U$74="Paire|Mardi|Matin")*ISNUMBER(SEARCH(","&amp;$B$129&amp;",",$Z$5:$Z$74)))&gt;=1,0,1)</f>
      </c>
      <c r="F129" s="23">
        <f>IF(SUMPRODUCT(($U$5:$U$74="Paire|Mardi|Soir")*ISNUMBER(SEARCH(","&amp;$B$129&amp;",",$Z$5:$Z$74)))&gt;=1,0,1)</f>
      </c>
      <c r="G129" s="23">
        <f>IF(SUMPRODUCT(($U$5:$U$74="Paire|Jeudi|Matin")*ISNUMBER(SEARCH(","&amp;$B$129&amp;",",$Z$5:$Z$74)))&gt;=1,0,1)</f>
      </c>
      <c r="H129" s="23">
        <f>IF(SUMPRODUCT(($U$5:$U$74="Paire|Jeudi|Soir")*ISNUMBER(SEARCH(","&amp;$B$129&amp;",",$Z$5:$Z$74)))&gt;=1,0,1)</f>
      </c>
      <c r="I129" s="23">
        <f>IF(SUMPRODUCT(($U$5:$U$74="Paire|Vendredi|Matin")*ISNUMBER(SEARCH(","&amp;$B$129&amp;",",$Z$5:$Z$74)))&gt;=1,0,1)</f>
      </c>
      <c r="J129" s="23">
        <f>IF(SUMPRODUCT(($U$5:$U$74="Paire|Vendredi|Soir")*ISNUMBER(SEARCH(","&amp;$B$129&amp;",",$Z$5:$Z$74)))&gt;=1,0,1)</f>
      </c>
      <c r="K129" s="23">
        <f>IF(SUMPRODUCT(($U$5:$U$74="Impaire|Lundi|Matin")*ISNUMBER(SEARCH(","&amp;$B$129&amp;",",$Z$5:$Z$74)))&gt;=1,0,1)</f>
      </c>
      <c r="L129" s="23">
        <f>IF(SUMPRODUCT(($U$5:$U$74="Impaire|Lundi|Soir")*ISNUMBER(SEARCH(","&amp;$B$129&amp;",",$Z$5:$Z$74)))&gt;=1,0,1)</f>
      </c>
      <c r="M129" s="23">
        <f>IF(SUMPRODUCT(($U$5:$U$74="Impaire|Mardi|Matin")*ISNUMBER(SEARCH(","&amp;$B$129&amp;",",$Z$5:$Z$74)))&gt;=1,0,1)</f>
      </c>
      <c r="N129" s="23">
        <f>IF(SUMPRODUCT(($U$5:$U$74="Impaire|Mardi|Soir")*ISNUMBER(SEARCH(","&amp;$B$129&amp;",",$Z$5:$Z$74)))&gt;=1,0,1)</f>
      </c>
      <c r="O129" s="23">
        <f>IF(SUMPRODUCT(($U$5:$U$74="Impaire|Jeudi|Matin")*ISNUMBER(SEARCH(","&amp;$B$129&amp;",",$Z$5:$Z$74)))&gt;=1,0,1)</f>
      </c>
      <c r="P129" s="23">
        <f>IF(SUMPRODUCT(($U$5:$U$74="Impaire|Jeudi|Soir")*ISNUMBER(SEARCH(","&amp;$B$129&amp;",",$Z$5:$Z$74)))&gt;=1,0,1)</f>
      </c>
      <c r="Q129" s="23">
        <f>IF(SUMPRODUCT(($U$5:$U$74="Impaire|Vendredi|Matin")*ISNUMBER(SEARCH(","&amp;$B$129&amp;",",$Z$5:$Z$74)))&gt;=1,0,1)</f>
      </c>
      <c r="R129" s="23">
        <f>IF(SUMPRODUCT(($U$5:$U$74="Impaire|Vendredi|Soir")*ISNUMBER(SEARCH(","&amp;$B$129&amp;",",$Z$5:$Z$74)))&gt;=1,0,1)</f>
      </c>
      <c r="S129" s="23">
        <f>SUM($C$129:$R$129)</f>
      </c>
    </row>
    <row r="130">
      <c r="A130" t="s" s="23">
        <v>115</v>
      </c>
      <c r="B130" t="s" s="23">
        <v>116</v>
      </c>
      <c r="C130" s="23">
        <f>IF(SUMPRODUCT(($U$5:$U$74="Paire|Lundi|Matin")*ISNUMBER(SEARCH(","&amp;$B$130&amp;",",$Z$5:$Z$74)))&gt;=1,0,1)</f>
      </c>
      <c r="D130" s="23">
        <f>IF(SUMPRODUCT(($U$5:$U$74="Paire|Lundi|Soir")*ISNUMBER(SEARCH(","&amp;$B$130&amp;",",$Z$5:$Z$74)))&gt;=1,0,1)</f>
      </c>
      <c r="E130" s="23">
        <f>IF(SUMPRODUCT(($U$5:$U$74="Paire|Mardi|Matin")*ISNUMBER(SEARCH(","&amp;$B$130&amp;",",$Z$5:$Z$74)))&gt;=1,0,1)</f>
      </c>
      <c r="F130" s="23">
        <f>IF(SUMPRODUCT(($U$5:$U$74="Paire|Mardi|Soir")*ISNUMBER(SEARCH(","&amp;$B$130&amp;",",$Z$5:$Z$74)))&gt;=1,0,1)</f>
      </c>
      <c r="G130" s="23">
        <f>IF(SUMPRODUCT(($U$5:$U$74="Paire|Jeudi|Matin")*ISNUMBER(SEARCH(","&amp;$B$130&amp;",",$Z$5:$Z$74)))&gt;=1,0,1)</f>
      </c>
      <c r="H130" s="23">
        <f>IF(SUMPRODUCT(($U$5:$U$74="Paire|Jeudi|Soir")*ISNUMBER(SEARCH(","&amp;$B$130&amp;",",$Z$5:$Z$74)))&gt;=1,0,1)</f>
      </c>
      <c r="I130" s="23">
        <f>IF(SUMPRODUCT(($U$5:$U$74="Paire|Vendredi|Matin")*ISNUMBER(SEARCH(","&amp;$B$130&amp;",",$Z$5:$Z$74)))&gt;=1,0,1)</f>
      </c>
      <c r="J130" s="23">
        <f>IF(SUMPRODUCT(($U$5:$U$74="Paire|Vendredi|Soir")*ISNUMBER(SEARCH(","&amp;$B$130&amp;",",$Z$5:$Z$74)))&gt;=1,0,1)</f>
      </c>
      <c r="K130" s="23">
        <f>IF(SUMPRODUCT(($U$5:$U$74="Impaire|Lundi|Matin")*ISNUMBER(SEARCH(","&amp;$B$130&amp;",",$Z$5:$Z$74)))&gt;=1,0,1)</f>
      </c>
      <c r="L130" s="23">
        <f>IF(SUMPRODUCT(($U$5:$U$74="Impaire|Lundi|Soir")*ISNUMBER(SEARCH(","&amp;$B$130&amp;",",$Z$5:$Z$74)))&gt;=1,0,1)</f>
      </c>
      <c r="M130" s="23">
        <f>IF(SUMPRODUCT(($U$5:$U$74="Impaire|Mardi|Matin")*ISNUMBER(SEARCH(","&amp;$B$130&amp;",",$Z$5:$Z$74)))&gt;=1,0,1)</f>
      </c>
      <c r="N130" s="23">
        <f>IF(SUMPRODUCT(($U$5:$U$74="Impaire|Mardi|Soir")*ISNUMBER(SEARCH(","&amp;$B$130&amp;",",$Z$5:$Z$74)))&gt;=1,0,1)</f>
      </c>
      <c r="O130" s="23">
        <f>IF(SUMPRODUCT(($U$5:$U$74="Impaire|Jeudi|Matin")*ISNUMBER(SEARCH(","&amp;$B$130&amp;",",$Z$5:$Z$74)))&gt;=1,0,1)</f>
      </c>
      <c r="P130" s="23">
        <f>IF(SUMPRODUCT(($U$5:$U$74="Impaire|Jeudi|Soir")*ISNUMBER(SEARCH(","&amp;$B$130&amp;",",$Z$5:$Z$74)))&gt;=1,0,1)</f>
      </c>
      <c r="Q130" s="23">
        <f>IF(SUMPRODUCT(($U$5:$U$74="Impaire|Vendredi|Matin")*ISNUMBER(SEARCH(","&amp;$B$130&amp;",",$Z$5:$Z$74)))&gt;=1,0,1)</f>
      </c>
      <c r="R130" s="23">
        <f>IF(SUMPRODUCT(($U$5:$U$74="Impaire|Vendredi|Soir")*ISNUMBER(SEARCH(","&amp;$B$130&amp;",",$Z$5:$Z$74)))&gt;=1,0,1)</f>
      </c>
      <c r="S130" s="23">
        <f>SUM($C$130:$R$130)</f>
      </c>
    </row>
    <row r="131">
      <c r="A131" t="s" s="23">
        <v>115</v>
      </c>
      <c r="B131" t="s" s="23">
        <v>117</v>
      </c>
      <c r="C131" s="23">
        <f>IF(SUMPRODUCT(($U$5:$U$74="Paire|Lundi|Matin")*ISNUMBER(SEARCH(","&amp;$B$131&amp;",",$Z$5:$Z$74)))&gt;=1,0,1)</f>
      </c>
      <c r="D131" s="23">
        <f>IF(SUMPRODUCT(($U$5:$U$74="Paire|Lundi|Soir")*ISNUMBER(SEARCH(","&amp;$B$131&amp;",",$Z$5:$Z$74)))&gt;=1,0,1)</f>
      </c>
      <c r="E131" s="23">
        <f>IF(SUMPRODUCT(($U$5:$U$74="Paire|Mardi|Matin")*ISNUMBER(SEARCH(","&amp;$B$131&amp;",",$Z$5:$Z$74)))&gt;=1,0,1)</f>
      </c>
      <c r="F131" s="23">
        <f>IF(SUMPRODUCT(($U$5:$U$74="Paire|Mardi|Soir")*ISNUMBER(SEARCH(","&amp;$B$131&amp;",",$Z$5:$Z$74)))&gt;=1,0,1)</f>
      </c>
      <c r="G131" s="23">
        <f>IF(SUMPRODUCT(($U$5:$U$74="Paire|Jeudi|Matin")*ISNUMBER(SEARCH(","&amp;$B$131&amp;",",$Z$5:$Z$74)))&gt;=1,0,1)</f>
      </c>
      <c r="H131" s="23">
        <f>IF(SUMPRODUCT(($U$5:$U$74="Paire|Jeudi|Soir")*ISNUMBER(SEARCH(","&amp;$B$131&amp;",",$Z$5:$Z$74)))&gt;=1,0,1)</f>
      </c>
      <c r="I131" s="23">
        <f>IF(SUMPRODUCT(($U$5:$U$74="Paire|Vendredi|Matin")*ISNUMBER(SEARCH(","&amp;$B$131&amp;",",$Z$5:$Z$74)))&gt;=1,0,1)</f>
      </c>
      <c r="J131" s="23">
        <f>IF(SUMPRODUCT(($U$5:$U$74="Paire|Vendredi|Soir")*ISNUMBER(SEARCH(","&amp;$B$131&amp;",",$Z$5:$Z$74)))&gt;=1,0,1)</f>
      </c>
      <c r="K131" s="23">
        <f>IF(SUMPRODUCT(($U$5:$U$74="Impaire|Lundi|Matin")*ISNUMBER(SEARCH(","&amp;$B$131&amp;",",$Z$5:$Z$74)))&gt;=1,0,1)</f>
      </c>
      <c r="L131" s="23">
        <f>IF(SUMPRODUCT(($U$5:$U$74="Impaire|Lundi|Soir")*ISNUMBER(SEARCH(","&amp;$B$131&amp;",",$Z$5:$Z$74)))&gt;=1,0,1)</f>
      </c>
      <c r="M131" s="23">
        <f>IF(SUMPRODUCT(($U$5:$U$74="Impaire|Mardi|Matin")*ISNUMBER(SEARCH(","&amp;$B$131&amp;",",$Z$5:$Z$74)))&gt;=1,0,1)</f>
      </c>
      <c r="N131" s="23">
        <f>IF(SUMPRODUCT(($U$5:$U$74="Impaire|Mardi|Soir")*ISNUMBER(SEARCH(","&amp;$B$131&amp;",",$Z$5:$Z$74)))&gt;=1,0,1)</f>
      </c>
      <c r="O131" s="23">
        <f>IF(SUMPRODUCT(($U$5:$U$74="Impaire|Jeudi|Matin")*ISNUMBER(SEARCH(","&amp;$B$131&amp;",",$Z$5:$Z$74)))&gt;=1,0,1)</f>
      </c>
      <c r="P131" s="23">
        <f>IF(SUMPRODUCT(($U$5:$U$74="Impaire|Jeudi|Soir")*ISNUMBER(SEARCH(","&amp;$B$131&amp;",",$Z$5:$Z$74)))&gt;=1,0,1)</f>
      </c>
      <c r="Q131" s="23">
        <f>IF(SUMPRODUCT(($U$5:$U$74="Impaire|Vendredi|Matin")*ISNUMBER(SEARCH(","&amp;$B$131&amp;",",$Z$5:$Z$74)))&gt;=1,0,1)</f>
      </c>
      <c r="R131" s="23">
        <f>IF(SUMPRODUCT(($U$5:$U$74="Impaire|Vendredi|Soir")*ISNUMBER(SEARCH(","&amp;$B$131&amp;",",$Z$5:$Z$74)))&gt;=1,0,1)</f>
      </c>
      <c r="S131" s="23">
        <f>SUM($C$131:$R$131)</f>
      </c>
    </row>
  </sheetData>
  <mergeCells count="5">
    <mergeCell ref="A1:K1"/>
    <mergeCell ref="A2:K2"/>
    <mergeCell ref="A117:S117"/>
    <mergeCell ref="M4:Q4"/>
    <mergeCell ref="M9:Q9"/>
  </mergeCells>
  <dataValidations count="71">
    <dataValidation type="list" sqref="F5:K5" allowBlank="true" errorStyle="stop" showDropDown="false" showErrorMessage="false">
      <formula1>$AA$5:$AM$5</formula1>
    </dataValidation>
    <dataValidation type="list" sqref="F6:K6" allowBlank="true" errorStyle="stop" showDropDown="false" showErrorMessage="false">
      <formula1>$AA$6:$AM$6</formula1>
    </dataValidation>
    <dataValidation type="list" sqref="F7:K7" allowBlank="true" errorStyle="stop" showDropDown="false" showErrorMessage="false">
      <formula1>$AA$7:$AM$7</formula1>
    </dataValidation>
    <dataValidation type="list" sqref="F8:K8" allowBlank="true" errorStyle="stop" showDropDown="false" showErrorMessage="false">
      <formula1>$AA$8:$AM$8</formula1>
    </dataValidation>
    <dataValidation type="list" sqref="F9:K9" allowBlank="true" errorStyle="stop" showDropDown="false" showErrorMessage="false">
      <formula1>$AA$9:$AM$9</formula1>
    </dataValidation>
    <dataValidation type="list" sqref="F10:K10" allowBlank="true" errorStyle="stop" showDropDown="false" showErrorMessage="false">
      <formula1>$AA$10:$AM$10</formula1>
    </dataValidation>
    <dataValidation type="list" sqref="F11:K11" allowBlank="true" errorStyle="stop" showDropDown="false" showErrorMessage="false">
      <formula1>$AA$11:$AM$11</formula1>
    </dataValidation>
    <dataValidation type="list" sqref="F12:K12" allowBlank="true" errorStyle="stop" showDropDown="false" showErrorMessage="false">
      <formula1>$AA$12:$AM$12</formula1>
    </dataValidation>
    <dataValidation type="list" sqref="F13:K13" allowBlank="true" errorStyle="stop" showDropDown="false" showErrorMessage="false">
      <formula1>$AA$13:$AM$13</formula1>
    </dataValidation>
    <dataValidation type="list" sqref="F14:K14" allowBlank="true" errorStyle="stop" showDropDown="false" showErrorMessage="false">
      <formula1>$AA$14:$AM$14</formula1>
    </dataValidation>
    <dataValidation type="list" sqref="F15:K15" allowBlank="true" errorStyle="stop" showDropDown="false" showErrorMessage="false">
      <formula1>$AA$15:$AM$15</formula1>
    </dataValidation>
    <dataValidation type="list" sqref="F16:K16" allowBlank="true" errorStyle="stop" showDropDown="false" showErrorMessage="false">
      <formula1>$AA$16:$AM$16</formula1>
    </dataValidation>
    <dataValidation type="list" sqref="F17:K17" allowBlank="true" errorStyle="stop" showDropDown="false" showErrorMessage="false">
      <formula1>$AA$17:$AM$17</formula1>
    </dataValidation>
    <dataValidation type="list" sqref="F18:K18" allowBlank="true" errorStyle="stop" showDropDown="false" showErrorMessage="false">
      <formula1>$AA$18:$AM$18</formula1>
    </dataValidation>
    <dataValidation type="list" sqref="F19:K19" allowBlank="true" errorStyle="stop" showDropDown="false" showErrorMessage="false">
      <formula1>$AA$19:$AM$19</formula1>
    </dataValidation>
    <dataValidation type="list" sqref="F20:K20" allowBlank="true" errorStyle="stop" showDropDown="false" showErrorMessage="false">
      <formula1>$AA$20:$AM$20</formula1>
    </dataValidation>
    <dataValidation type="list" sqref="F21:K21" allowBlank="true" errorStyle="stop" showDropDown="false" showErrorMessage="false">
      <formula1>$AA$21:$AM$21</formula1>
    </dataValidation>
    <dataValidation type="list" sqref="F22:K22" allowBlank="true" errorStyle="stop" showDropDown="false" showErrorMessage="false">
      <formula1>$AA$22:$AM$22</formula1>
    </dataValidation>
    <dataValidation type="list" sqref="F23:K23" allowBlank="true" errorStyle="stop" showDropDown="false" showErrorMessage="false">
      <formula1>$AA$23:$AM$23</formula1>
    </dataValidation>
    <dataValidation type="list" sqref="F24:K24" allowBlank="true" errorStyle="stop" showDropDown="false" showErrorMessage="false">
      <formula1>$AA$24:$AM$24</formula1>
    </dataValidation>
    <dataValidation type="list" sqref="F25:K25" allowBlank="true" errorStyle="stop" showDropDown="false" showErrorMessage="false">
      <formula1>$AA$25:$AM$25</formula1>
    </dataValidation>
    <dataValidation type="list" sqref="F26:K26" allowBlank="true" errorStyle="stop" showDropDown="false" showErrorMessage="false">
      <formula1>$AA$26:$AM$26</formula1>
    </dataValidation>
    <dataValidation type="list" sqref="F27:K27" allowBlank="true" errorStyle="stop" showDropDown="false" showErrorMessage="false">
      <formula1>$AA$27:$AM$27</formula1>
    </dataValidation>
    <dataValidation type="list" sqref="F28:K28" allowBlank="true" errorStyle="stop" showDropDown="false" showErrorMessage="false">
      <formula1>$AA$28:$AM$28</formula1>
    </dataValidation>
    <dataValidation type="list" sqref="F29:K29" allowBlank="true" errorStyle="stop" showDropDown="false" showErrorMessage="false">
      <formula1>$AA$29:$AM$29</formula1>
    </dataValidation>
    <dataValidation type="list" sqref="F30:K30" allowBlank="true" errorStyle="stop" showDropDown="false" showErrorMessage="false">
      <formula1>$AA$30:$AM$30</formula1>
    </dataValidation>
    <dataValidation type="list" sqref="F31:K31" allowBlank="true" errorStyle="stop" showDropDown="false" showErrorMessage="false">
      <formula1>$AA$31:$AM$31</formula1>
    </dataValidation>
    <dataValidation type="list" sqref="F32:K32" allowBlank="true" errorStyle="stop" showDropDown="false" showErrorMessage="false">
      <formula1>$AA$32:$AM$32</formula1>
    </dataValidation>
    <dataValidation type="list" sqref="F33:K33" allowBlank="true" errorStyle="stop" showDropDown="false" showErrorMessage="false">
      <formula1>$AA$33:$AM$33</formula1>
    </dataValidation>
    <dataValidation type="list" sqref="F34:K34" allowBlank="true" errorStyle="stop" showDropDown="false" showErrorMessage="false">
      <formula1>$AA$34:$AM$34</formula1>
    </dataValidation>
    <dataValidation type="list" sqref="F35:K35" allowBlank="true" errorStyle="stop" showDropDown="false" showErrorMessage="false">
      <formula1>$AA$35:$AM$35</formula1>
    </dataValidation>
    <dataValidation type="list" sqref="F36:K36" allowBlank="true" errorStyle="stop" showDropDown="false" showErrorMessage="false">
      <formula1>$AA$36:$AM$36</formula1>
    </dataValidation>
    <dataValidation type="list" sqref="F37:K37" allowBlank="true" errorStyle="stop" showDropDown="false" showErrorMessage="false">
      <formula1>$AA$37:$AM$37</formula1>
    </dataValidation>
    <dataValidation type="list" sqref="F38:K38" allowBlank="true" errorStyle="stop" showDropDown="false" showErrorMessage="false">
      <formula1>$AA$38:$AM$38</formula1>
    </dataValidation>
    <dataValidation type="list" sqref="F39:K39" allowBlank="true" errorStyle="stop" showDropDown="false" showErrorMessage="false">
      <formula1>$AA$39:$AM$39</formula1>
    </dataValidation>
    <dataValidation type="list" sqref="F40:K40" allowBlank="true" errorStyle="stop" showDropDown="false" showErrorMessage="false">
      <formula1>$AA$40:$AM$40</formula1>
    </dataValidation>
    <dataValidation type="list" sqref="F41:K41" allowBlank="true" errorStyle="stop" showDropDown="false" showErrorMessage="false">
      <formula1>$AA$41:$AM$41</formula1>
    </dataValidation>
    <dataValidation type="list" sqref="F42:K42" allowBlank="true" errorStyle="stop" showDropDown="false" showErrorMessage="false">
      <formula1>$AA$42:$AM$42</formula1>
    </dataValidation>
    <dataValidation type="list" sqref="F43:K43" allowBlank="true" errorStyle="stop" showDropDown="false" showErrorMessage="false">
      <formula1>$AA$43:$AM$43</formula1>
    </dataValidation>
    <dataValidation type="list" sqref="F44:K44" allowBlank="true" errorStyle="stop" showDropDown="false" showErrorMessage="false">
      <formula1>$AA$44:$AM$44</formula1>
    </dataValidation>
    <dataValidation type="list" sqref="F45:K45" allowBlank="true" errorStyle="stop" showDropDown="false" showErrorMessage="false">
      <formula1>$AA$45:$AM$45</formula1>
    </dataValidation>
    <dataValidation type="list" sqref="F46:K46" allowBlank="true" errorStyle="stop" showDropDown="false" showErrorMessage="false">
      <formula1>$AA$46:$AM$46</formula1>
    </dataValidation>
    <dataValidation type="list" sqref="F47:K47" allowBlank="true" errorStyle="stop" showDropDown="false" showErrorMessage="false">
      <formula1>$AA$47:$AM$47</formula1>
    </dataValidation>
    <dataValidation type="list" sqref="F48:K48" allowBlank="true" errorStyle="stop" showDropDown="false" showErrorMessage="false">
      <formula1>$AA$48:$AM$48</formula1>
    </dataValidation>
    <dataValidation type="list" sqref="F49:K49" allowBlank="true" errorStyle="stop" showDropDown="false" showErrorMessage="false">
      <formula1>$AA$49:$AM$49</formula1>
    </dataValidation>
    <dataValidation type="list" sqref="F50:K50" allowBlank="true" errorStyle="stop" showDropDown="false" showErrorMessage="false">
      <formula1>$AA$50:$AM$50</formula1>
    </dataValidation>
    <dataValidation type="list" sqref="F51:K51" allowBlank="true" errorStyle="stop" showDropDown="false" showErrorMessage="false">
      <formula1>$AA$51:$AM$51</formula1>
    </dataValidation>
    <dataValidation type="list" sqref="F52:K52" allowBlank="true" errorStyle="stop" showDropDown="false" showErrorMessage="false">
      <formula1>$AA$52:$AM$52</formula1>
    </dataValidation>
    <dataValidation type="list" sqref="F53:K53" allowBlank="true" errorStyle="stop" showDropDown="false" showErrorMessage="false">
      <formula1>$AA$53:$AM$53</formula1>
    </dataValidation>
    <dataValidation type="list" sqref="F54:K54" allowBlank="true" errorStyle="stop" showDropDown="false" showErrorMessage="false">
      <formula1>$AA$54:$AM$54</formula1>
    </dataValidation>
    <dataValidation type="list" sqref="F55:K55" allowBlank="true" errorStyle="stop" showDropDown="false" showErrorMessage="false">
      <formula1>$AA$55:$AM$55</formula1>
    </dataValidation>
    <dataValidation type="list" sqref="F56:K56" allowBlank="true" errorStyle="stop" showDropDown="false" showErrorMessage="false">
      <formula1>$AA$56:$AM$56</formula1>
    </dataValidation>
    <dataValidation type="list" sqref="F57:K57" allowBlank="true" errorStyle="stop" showDropDown="false" showErrorMessage="false">
      <formula1>$AA$57:$AM$57</formula1>
    </dataValidation>
    <dataValidation type="list" sqref="F58:K58" allowBlank="true" errorStyle="stop" showDropDown="false" showErrorMessage="false">
      <formula1>$AA$58:$AM$58</formula1>
    </dataValidation>
    <dataValidation type="list" sqref="F59:K59" allowBlank="true" errorStyle="stop" showDropDown="false" showErrorMessage="false">
      <formula1>$AA$59:$AM$59</formula1>
    </dataValidation>
    <dataValidation type="list" sqref="F60:K60" allowBlank="true" errorStyle="stop" showDropDown="false" showErrorMessage="false">
      <formula1>$AA$60:$AM$60</formula1>
    </dataValidation>
    <dataValidation type="list" sqref="F61:K61" allowBlank="true" errorStyle="stop" showDropDown="false" showErrorMessage="false">
      <formula1>$AA$61:$AM$61</formula1>
    </dataValidation>
    <dataValidation type="list" sqref="F62:K62" allowBlank="true" errorStyle="stop" showDropDown="false" showErrorMessage="false">
      <formula1>$AA$62:$AM$62</formula1>
    </dataValidation>
    <dataValidation type="list" sqref="F63:K63" allowBlank="true" errorStyle="stop" showDropDown="false" showErrorMessage="false">
      <formula1>$AA$63:$AM$63</formula1>
    </dataValidation>
    <dataValidation type="list" sqref="F64:K64" allowBlank="true" errorStyle="stop" showDropDown="false" showErrorMessage="false">
      <formula1>$AA$64:$AM$64</formula1>
    </dataValidation>
    <dataValidation type="list" sqref="F65:K65" allowBlank="true" errorStyle="stop" showDropDown="false" showErrorMessage="false">
      <formula1>$AA$65:$AM$65</formula1>
    </dataValidation>
    <dataValidation type="list" sqref="F66:K66" allowBlank="true" errorStyle="stop" showDropDown="false" showErrorMessage="false">
      <formula1>$AA$66:$AM$66</formula1>
    </dataValidation>
    <dataValidation type="list" sqref="F67:K67" allowBlank="true" errorStyle="stop" showDropDown="false" showErrorMessage="false">
      <formula1>$AA$67:$AM$67</formula1>
    </dataValidation>
    <dataValidation type="list" sqref="F68:K68" allowBlank="true" errorStyle="stop" showDropDown="false" showErrorMessage="false">
      <formula1>$AA$68:$AM$68</formula1>
    </dataValidation>
    <dataValidation type="list" sqref="F69:K69" allowBlank="true" errorStyle="stop" showDropDown="false" showErrorMessage="false">
      <formula1>$AA$69:$AM$69</formula1>
    </dataValidation>
    <dataValidation type="list" sqref="F70:K70" allowBlank="true" errorStyle="stop" showDropDown="false" showErrorMessage="false">
      <formula1>$AA$70:$AM$70</formula1>
    </dataValidation>
    <dataValidation type="list" sqref="F71:K71" allowBlank="true" errorStyle="stop" showDropDown="false" showErrorMessage="false">
      <formula1>$AA$71:$AM$71</formula1>
    </dataValidation>
    <dataValidation type="list" sqref="F72:K72" allowBlank="true" errorStyle="stop" showDropDown="false" showErrorMessage="false">
      <formula1>$AA$72:$AM$72</formula1>
    </dataValidation>
    <dataValidation type="list" sqref="F73:K73" allowBlank="true" errorStyle="stop" showDropDown="false" showErrorMessage="false">
      <formula1>$AA$73:$AM$73</formula1>
    </dataValidation>
    <dataValidation type="list" sqref="F74:K74" allowBlank="true" errorStyle="stop" showDropDown="false" showErrorMessage="false">
      <formula1>$AA$74:$AM$74</formula1>
    </dataValidation>
    <dataValidation type="list" sqref="D5:D74" allowBlank="true" errorStyle="stop" showDropDown="false" showErrorMessage="true">
      <formula1>$A$77:$A$87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2026-06-20T17:54:23Z</dcterms:created>
  <dc:creator>Apache POI</dc:creator>
  <dc:language>fr-FR</dc:language>
  <dcterms:modified xsi:type="dcterms:W3CDTF">2026-06-20T20:37:56Z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